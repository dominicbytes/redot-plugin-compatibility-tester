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c9218ebb1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c161b1450f249c9"/>
    <x:sheet xmlns:r="http://schemas.openxmlformats.org/officeDocument/2006/relationships" name="Decisions" sheetId="2" r:id="R08dc11f2f513499d"/>
    <x:sheet xmlns:r="http://schemas.openxmlformats.org/officeDocument/2006/relationships" name="Sources" sheetId="3" r:id="R4423a1dda3a64b42"/>
    <x:sheet xmlns:r="http://schemas.openxmlformats.org/officeDocument/2006/relationships" name="Milestones" sheetId="4" r:id="Rd7b89a0403d144f4"/>
    <x:sheet xmlns:r="http://schemas.openxmlformats.org/officeDocument/2006/relationships" name="Build Log" sheetId="5" r:id="Rb2c99f46c9134585"/>
    <x:sheet xmlns:r="http://schemas.openxmlformats.org/officeDocument/2006/relationships" name="QA" sheetId="6" r:id="Ra1063fb648b2413f"/>
    <x:sheet xmlns:r="http://schemas.openxmlformats.org/officeDocument/2006/relationships" name="Risks" sheetId="7" r:id="R44c97d6d8d474108"/>
    <x:sheet xmlns:r="http://schemas.openxmlformats.org/officeDocument/2006/relationships" name="Releases" sheetId="8" r:id="R145fa77e844e4e31"/>
    <x:sheet xmlns:r="http://schemas.openxmlformats.org/officeDocument/2006/relationships" name="Marketing" sheetId="9" r:id="R5657587599d2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19">
    <x:font>
      <x:sz val="11"/>
      <x:color theme="1"/>
      <x:name val="Calibri"/>
    </x:font>
    <x:font>
      <x:b/>
      <x:color rgb="FFFFFFFF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0"/>
      <x:color rgb="FF166534"/>
      <x:name val="Aptos"/>
    </x:font>
    <x:font>
      <x:b/>
      <x:sz val="10"/>
      <x:color rgb="FF1D4ED8"/>
      <x:name val="Aptos"/>
    </x:font>
    <x:font>
      <x:b/>
      <x:sz val="10"/>
      <x:color rgb="FF4B5563"/>
      <x:name val="Aptos"/>
    </x:font>
    <x:font>
      <x:b/>
      <x:sz val="10"/>
      <x:color rgb="FF92400E"/>
      <x:name val="Aptos"/>
    </x:font>
    <x:font>
      <x:b/>
      <x:sz val="10"/>
      <x:color rgb="FF991B1B"/>
      <x:name val="Aptos"/>
    </x:font>
    <x:font>
      <x:sz val="10"/>
      <x:color rgb="FF1D4ED8"/>
      <x:name val="Aptos"/>
    </x:font>
    <x:font>
      <x:sz val="11"/>
      <x:color rgb="FF111827"/>
      <x:name val="Calibri"/>
    </x:font>
    <x:font>
      <x:b/>
      <x:sz val="11"/>
      <x:color rgb="FF166534"/>
      <x:name val="Calibri"/>
    </x:font>
    <x:font>
      <x:sz val="11"/>
      <x:color rgb="FF2563EB"/>
      <x:name val="Calibri"/>
    </x:font>
    <x:font>
      <x:b/>
      <x:sz val="11"/>
      <x:color rgb="FF92400E"/>
      <x:name val="Calibri"/>
    </x:font>
    <x:font>
      <x:b/>
      <x:sz val="11"/>
      <x:color rgb="FFB91C1C"/>
      <x:name val="Calibri"/>
    </x:font>
    <x:font>
      <x:b/>
      <x:sz val="11"/>
      <x:color rgb="FF111827"/>
      <x:name val="Calibri"/>
    </x:font>
    <x:font>
      <x:b/>
      <x:sz val="10"/>
      <x:color rgb="FF1E40AF"/>
      <x:name val="Aptos"/>
    </x:font>
    <x:font>
      <x:b/>
      <x:sz val="10"/>
      <x:color rgb="FF374151"/>
      <x:name val="Aptos"/>
    </x:font>
    <x:font>
      <x:b/>
      <x:sz val="11"/>
      <x:color rgb="FF991B1B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1" fillId="2" borderId="0" xfId="0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8" fillId="10" borderId="1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200" fontId="2" fillId="5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201" fontId="2" fillId="5" borderId="1" xfId="0" applyNumberFormat="1" applyFont="1" applyFill="1" applyBorder="1" applyAlignment="1">
      <x:alignment vertical="top" wrapText="1"/>
    </x:xf>
    <x:xf numFmtId="201" fontId="2" fillId="4" borderId="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5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1" xfId="0" applyNumberFormat="1" applyFont="1" applyFill="1" applyBorder="1"/>
    <x:xf numFmtId="0" fontId="10" fillId="13" borderId="1" xfId="0" applyNumberFormat="1" applyFont="1" applyFill="1" applyBorder="1" applyAlignment="1">
      <x:alignment wrapText="1"/>
    </x:xf>
    <x:xf numFmtId="0" fontId="10" fillId="13" borderId="1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1" xfId="0" applyNumberFormat="1" applyFont="1" applyFill="1" applyBorder="1"/>
    <x:xf numFmtId="0" fontId="10" fillId="14" borderId="1" xfId="0" applyNumberFormat="1" applyFont="1" applyFill="1" applyBorder="1" applyAlignment="1">
      <x:alignment wrapText="1"/>
    </x:xf>
    <x:xf numFmtId="0" fontId="10" fillId="14" borderId="1" xfId="0" applyNumberFormat="1" applyFont="1" applyFill="1" applyBorder="1" applyAlignment="1">
      <x:alignment vertical="top" wrapText="1"/>
    </x:xf>
    <x:xf numFmtId="201" fontId="10" fillId="13" borderId="1" xfId="0" applyNumberFormat="1" applyFont="1" applyFill="1" applyBorder="1" applyAlignment="1">
      <x:alignment vertical="top" wrapText="1"/>
    </x:xf>
    <x:xf numFmtId="201" fontId="10" fillId="14" borderId="1" xfId="0" applyNumberFormat="1" applyFont="1" applyFill="1" applyBorder="1" applyAlignment="1">
      <x:alignment vertical="top" wrapText="1"/>
    </x:xf>
    <x:xf numFmtId="0" fontId="10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12" fillId="13" borderId="1" xfId="0" applyNumberFormat="1" applyFont="1" applyFill="1" applyBorder="1" applyAlignment="1">
      <x:alignment vertical="top" wrapText="1"/>
    </x:xf>
    <x:xf numFmtId="0" fontId="12" fillId="14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13" fillId="15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14" fillId="16" borderId="1" xfId="0" applyNumberFormat="1" applyFont="1" applyFill="1" applyBorder="1" applyAlignment="1">
      <x:alignment vertical="top" wrapText="1"/>
    </x:xf>
    <x:xf numFmtId="200" fontId="10" fillId="14" borderId="1" xfId="0" applyNumberFormat="1" applyFont="1" applyFill="1" applyBorder="1" applyAlignment="1">
      <x:alignment vertical="top" wrapText="1"/>
    </x:xf>
    <x:xf numFmtId="0" fontId="4" fillId="17" borderId="1" xfId="0" applyNumberFormat="1" applyFont="1" applyFill="1" applyBorder="1" applyAlignment="1">
      <x:alignment vertical="top" wrapText="1"/>
    </x:xf>
    <x:xf numFmtId="0" fontId="5" fillId="18" borderId="1" xfId="0" applyNumberFormat="1" applyFont="1" applyFill="1" applyBorder="1" applyAlignment="1">
      <x:alignment vertical="top" wrapText="1"/>
    </x:xf>
    <x:xf numFmtId="0" fontId="10" fillId="19" borderId="1" xfId="0" applyNumberFormat="1" applyFont="1" applyFill="1" applyBorder="1" applyAlignment="1">
      <x:alignment vertical="top" wrapText="1"/>
    </x:xf>
    <x:xf numFmtId="201" fontId="10" fillId="19" borderId="1" xfId="0" applyNumberFormat="1" applyFont="1" applyFill="1" applyBorder="1" applyAlignment="1">
      <x:alignment vertical="top" wrapText="1"/>
    </x:xf>
    <x:xf numFmtId="0" fontId="11" fillId="19" borderId="1" xfId="0" applyNumberFormat="1" applyFont="1" applyFill="1" applyBorder="1" applyAlignment="1">
      <x:alignment vertical="top" wrapText="1"/>
    </x:xf>
    <x:xf numFmtId="0" fontId="12" fillId="19" borderId="1" xfId="0" applyNumberFormat="1" applyFont="1" applyFill="1" applyBorder="1" applyAlignment="1">
      <x:alignment vertical="top" wrapText="1"/>
    </x:xf>
    <x:xf numFmtId="0" fontId="15" fillId="19" borderId="1" xfId="0" applyNumberFormat="1" applyFont="1" applyFill="1" applyBorder="1" applyAlignment="1">
      <x:alignment vertical="top" wrapText="1"/>
    </x:xf>
    <x:xf numFmtId="0" fontId="10" fillId="20" borderId="1" xfId="0" applyNumberFormat="1" applyFont="1" applyFill="1" applyBorder="1" applyAlignment="1">
      <x:alignment vertical="top" wrapText="1"/>
    </x:xf>
    <x:xf numFmtId="201" fontId="10" fillId="20" borderId="1" xfId="0" applyNumberFormat="1" applyFont="1" applyFill="1" applyBorder="1" applyAlignment="1">
      <x:alignment vertical="top" wrapText="1"/>
    </x:xf>
    <x:xf numFmtId="0" fontId="11" fillId="20" borderId="1" xfId="0" applyNumberFormat="1" applyFont="1" applyFill="1" applyBorder="1" applyAlignment="1">
      <x:alignment vertical="top" wrapText="1"/>
    </x:xf>
    <x:xf numFmtId="0" fontId="12" fillId="20" borderId="1" xfId="0" applyNumberFormat="1" applyFont="1" applyFill="1" applyBorder="1" applyAlignment="1">
      <x:alignment vertical="top" wrapText="1"/>
    </x:xf>
    <x:xf numFmtId="0" fontId="15" fillId="20" borderId="1" xfId="0" applyNumberFormat="1" applyFont="1" applyFill="1" applyBorder="1" applyAlignment="1">
      <x:alignment vertical="top" wrapText="1"/>
    </x:xf>
    <x:xf numFmtId="0" fontId="15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0" fontId="13" fillId="19" borderId="1" xfId="0" applyNumberFormat="1" applyFont="1" applyFill="1" applyBorder="1" applyAlignment="1">
      <x:alignment vertical="top" wrapText="1"/>
    </x:xf>
    <x:xf numFmtId="0" fontId="14" fillId="20" borderId="1" xfId="0" applyNumberFormat="1" applyFont="1" applyFill="1" applyBorder="1" applyAlignment="1">
      <x:alignment vertical="top" wrapText="1"/>
    </x:xf>
    <x:xf numFmtId="0" fontId="14" fillId="19" borderId="1" xfId="0" applyNumberFormat="1" applyFont="1" applyFill="1" applyBorder="1" applyAlignment="1">
      <x:alignment vertical="top" wrapText="1"/>
    </x:xf>
    <x:xf numFmtId="0" fontId="13" fillId="20" borderId="1" xfId="0" applyNumberFormat="1" applyFont="1" applyFill="1" applyBorder="1" applyAlignment="1">
      <x:alignment vertical="top" wrapText="1"/>
    </x:xf>
    <x:xf numFmtId="0" fontId="15" fillId="21" borderId="1" xfId="0" applyNumberFormat="1" applyFont="1" applyFill="1" applyBorder="1" applyAlignment="1">
      <x:alignment vertical="top" wrapText="1"/>
    </x:xf>
    <x:xf numFmtId="0" fontId="13" fillId="21" borderId="1" xfId="0" applyNumberFormat="1" applyFont="1" applyFill="1" applyBorder="1" applyAlignment="1">
      <x:alignment vertical="top" wrapText="1"/>
    </x:xf>
    <x:xf numFmtId="0" fontId="15" fillId="22" borderId="1" xfId="0" applyNumberFormat="1" applyFont="1" applyFill="1" applyBorder="1" applyAlignment="1">
      <x:alignment vertical="top" wrapText="1"/>
    </x:xf>
    <x:xf numFmtId="0" fontId="14" fillId="22" borderId="1" xfId="0" applyNumberFormat="1" applyFont="1" applyFill="1" applyBorder="1" applyAlignment="1">
      <x:alignment vertical="top" wrapText="1"/>
    </x:xf>
    <x:xf numFmtId="200" fontId="10" fillId="20" borderId="1" xfId="0" applyNumberFormat="1" applyFont="1" applyFill="1" applyBorder="1" applyAlignment="1">
      <x:alignment vertical="top" wrapText="1"/>
    </x:xf>
    <x:xf numFmtId="0" fontId="4" fillId="23" borderId="1" xfId="0" applyNumberFormat="1" applyFont="1" applyFill="1" applyBorder="1" applyAlignment="1">
      <x:alignment vertical="top" wrapText="1"/>
    </x:xf>
    <x:xf numFmtId="0" fontId="16" fillId="23" borderId="1" xfId="0" applyNumberFormat="1" applyFont="1" applyFill="1" applyBorder="1" applyAlignment="1">
      <x:alignment vertical="top" wrapText="1"/>
    </x:xf>
    <x:xf numFmtId="0" fontId="5" fillId="24" borderId="1" xfId="0" applyNumberFormat="1" applyFont="1" applyFill="1" applyBorder="1" applyAlignment="1">
      <x:alignment vertical="top" wrapText="1"/>
    </x:xf>
    <x:xf numFmtId="0" fontId="7" fillId="24" borderId="1" xfId="0" applyNumberFormat="1" applyFont="1" applyFill="1" applyBorder="1" applyAlignment="1">
      <x:alignment vertical="top" wrapText="1"/>
    </x:xf>
    <x:xf numFmtId="0" fontId="4" fillId="25" borderId="1" xfId="0" applyNumberFormat="1" applyFont="1" applyFill="1" applyBorder="1" applyAlignment="1">
      <x:alignment vertical="top" wrapText="1"/>
    </x:xf>
    <x:xf numFmtId="0" fontId="8" fillId="26" borderId="1" xfId="0" applyNumberFormat="1" applyFont="1" applyFill="1" applyBorder="1" applyAlignment="1">
      <x:alignment vertical="top" wrapText="1"/>
    </x:xf>
    <x:xf numFmtId="0" fontId="5" fillId="26" borderId="1" xfId="0" applyNumberFormat="1" applyFont="1" applyFill="1" applyBorder="1" applyAlignment="1">
      <x:alignment vertical="top" wrapText="1"/>
    </x:xf>
    <x:xf numFmtId="0" fontId="7" fillId="23" borderId="1" xfId="0" applyNumberFormat="1" applyFont="1" applyFill="1" applyBorder="1" applyAlignment="1">
      <x:alignment vertical="top" wrapText="1"/>
    </x:xf>
    <x:xf numFmtId="0" fontId="7" fillId="26" borderId="1" xfId="0" applyNumberFormat="1" applyFont="1" applyFill="1" applyBorder="1" applyAlignment="1">
      <x:alignment vertical="top" wrapText="1"/>
    </x:xf>
    <x:xf numFmtId="0" fontId="5" fillId="27" borderId="1" xfId="0" applyNumberFormat="1" applyFont="1" applyFill="1" applyBorder="1" applyAlignment="1">
      <x:alignment vertical="top" wrapText="1"/>
    </x:xf>
    <x:xf numFmtId="0" fontId="17" fillId="27" borderId="1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11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18" fillId="26" borderId="0" xfId="0" applyNumberFormat="1" applyFont="1" applyFill="1" applyBorder="1"/>
    <x:xf numFmtId="0" fontId="18" fillId="26" borderId="0" xfId="0" applyNumberFormat="1" applyFont="1" applyFill="1" applyBorder="1" applyAlignment="1">
      <x:alignment wrapText="1"/>
    </x:xf>
    <x:xf numFmtId="0" fontId="7" fillId="25" borderId="1" xfId="0" applyNumberFormat="1" applyFont="1" applyFill="1" applyBorder="1" applyAlignment="1">
      <x:alignment vertical="top" wrapText="1"/>
    </x:xf>
    <x:xf numFmtId="0" fontId="14" fillId="26" borderId="1" xfId="0" applyNumberFormat="1" applyFont="1" applyFill="1" applyBorder="1" applyAlignment="1">
      <x:alignment vertical="top" wrapText="1"/>
    </x:xf>
    <x:xf numFmtId="0" fontId="18" fillId="26" borderId="1" xfId="0" applyNumberFormat="1" applyFont="1" applyFill="1" applyBorder="1" applyAlignment="1">
      <x:alignment vertical="top" wrapText="1"/>
    </x:xf>
    <x:xf numFmtId="0" fontId="13" fillId="24" borderId="1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13" fillId="24" borderId="0" xfId="0" applyNumberFormat="1" applyFont="1" applyFill="1" applyBorder="1"/>
    <x:xf numFmtId="0" fontId="13" fillId="24" borderId="0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top" wrapText="1"/>
    </x:xf>
    <x:xf numFmtId="200" fontId="10" fillId="5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top" wrapText="1"/>
    </x:xf>
    <x:xf numFmtId="201" fontId="10" fillId="4" borderId="1" xfId="0" applyNumberFormat="1" applyFont="1" applyFill="1" applyBorder="1" applyAlignment="1">
      <x:alignment vertical="top" wrapText="1"/>
    </x:xf>
    <x:xf numFmtId="0" fontId="12" fillId="4" borderId="1" xfId="0" applyNumberFormat="1" applyFont="1" applyFill="1" applyBorder="1" applyAlignment="1">
      <x:alignment vertical="top" wrapText="1"/>
    </x:xf>
    <x:xf numFmtId="201" fontId="10" fillId="5" borderId="1" xfId="0" applyNumberFormat="1" applyFont="1" applyFill="1" applyBorder="1" applyAlignment="1">
      <x:alignment vertical="top" wrapText="1"/>
    </x:xf>
    <x:xf numFmtId="0" fontId="12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6" fillId="28" borderId="1" xfId="0" applyNumberFormat="1" applyFont="1" applyFill="1" applyBorder="1" applyAlignment="1">
      <x:alignment vertical="top" wrapText="1"/>
    </x:xf>
    <x:xf numFmtId="0" fontId="7" fillId="29" borderId="1" xfId="0" applyNumberFormat="1" applyFont="1" applyFill="1" applyBorder="1" applyAlignment="1">
      <x:alignment vertical="top" wrapText="1"/>
    </x:xf>
    <x:xf numFmtId="0" fontId="4" fillId="30" borderId="1" xfId="0" applyNumberFormat="1" applyFont="1" applyFill="1" applyBorder="1" applyAlignment="1">
      <x:alignment vertical="top" wrapText="1"/>
    </x:xf>
    <x:xf numFmtId="0" fontId="16" fillId="29" borderId="1" xfId="0" applyNumberFormat="1" applyFont="1" applyFill="1" applyBorder="1" applyAlignment="1">
      <x:alignment vertical="top" wrapText="1"/>
    </x:xf>
    <x:xf numFmtId="0" fontId="8" fillId="30" borderId="1" xfId="0" applyNumberFormat="1" applyFont="1" applyFill="1" applyBorder="1" applyAlignment="1">
      <x:alignment vertical="top" wrapText="1"/>
    </x:xf>
    <x:xf numFmtId="0" fontId="17" fillId="30" borderId="1" xfId="0" applyNumberFormat="1" applyFont="1" applyFill="1" applyBorder="1" applyAlignment="1">
      <x:alignment vertical="top" wrapText="1"/>
    </x:xf>
    <x:xf numFmtId="0" fontId="11" fillId="30" borderId="0" xfId="0" applyNumberFormat="1" applyFont="1" applyFill="1" applyBorder="1" applyAlignment="1">
      <x:alignment wrapText="1"/>
    </x:xf>
    <x:xf numFmtId="0" fontId="18" fillId="30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11" fillId="30" borderId="0" xfId="0" applyNumberFormat="1" applyFont="1" applyFill="1" applyBorder="1"/>
    <x:xf numFmtId="0" fontId="7" fillId="30" borderId="1" xfId="0" applyNumberFormat="1" applyFont="1" applyFill="1" applyBorder="1" applyAlignment="1">
      <x:alignment vertical="top" wrapText="1"/>
    </x:xf>
    <x:xf numFmtId="0" fontId="18" fillId="30" borderId="1" xfId="0" applyNumberFormat="1" applyFont="1" applyFill="1" applyBorder="1" applyAlignment="1">
      <x:alignment vertical="top" wrapText="1"/>
    </x:xf>
    <x:xf numFmtId="0" fontId="11" fillId="30" borderId="1" xfId="0" applyNumberFormat="1" applyFont="1" applyFill="1" applyBorder="1" applyAlignment="1">
      <x:alignment vertical="top" wrapText="1"/>
    </x:xf>
    <x:xf numFmtId="0" fontId="8" fillId="29" borderId="1" xfId="0" applyNumberFormat="1" applyFont="1" applyFill="1" applyBorder="1" applyAlignment="1">
      <x:alignment vertical="top" wrapText="1"/>
    </x:xf>
    <x:xf numFmtId="0" fontId="13" fillId="29" borderId="1" xfId="0" applyNumberFormat="1" applyFont="1" applyFill="1" applyBorder="1" applyAlignment="1">
      <x:alignment vertical="top" wrapText="1"/>
    </x:xf>
    <x:xf numFmtId="0" fontId="13" fillId="29" borderId="0" xfId="0" applyNumberFormat="1" applyFont="1" applyFill="1" applyBorder="1" applyAlignment="1">
      <x:alignment wrapText="1"/>
    </x:xf>
    <x:xf numFmtId="0" fontId="16" fillId="31" borderId="1" xfId="0" applyNumberFormat="1" applyFont="1" applyFill="1" applyBorder="1" applyAlignment="1">
      <x:alignment vertical="top" wrapText="1"/>
    </x:xf>
    <x:xf numFmtId="0" fontId="7" fillId="32" borderId="1" xfId="0" applyNumberFormat="1" applyFont="1" applyFill="1" applyBorder="1" applyAlignment="1">
      <x:alignment vertical="top" wrapText="1"/>
    </x:xf>
    <x:xf numFmtId="0" fontId="4" fillId="33" borderId="1" xfId="0" applyNumberFormat="1" applyFont="1" applyFill="1" applyBorder="1" applyAlignment="1">
      <x:alignment vertical="top" wrapText="1"/>
    </x:xf>
    <x:xf numFmtId="0" fontId="11" fillId="33" borderId="0" xfId="0" applyNumberFormat="1" applyFont="1" applyFill="1" applyBorder="1" applyAlignment="1">
      <x:alignment wrapText="1"/>
    </x:xf>
    <x:xf numFmtId="0" fontId="11" fillId="33" borderId="1" xfId="0" applyNumberFormat="1" applyFont="1" applyFill="1" applyBorder="1" applyAlignment="1">
      <x:alignment vertical="top" wrapText="1"/>
    </x:xf>
    <x:xf numFmtId="0" fontId="13" fillId="32" borderId="1" xfId="0" applyNumberFormat="1" applyFont="1" applyFill="1" applyBorder="1" applyAlignment="1">
      <x:alignment vertical="top" wrapText="1"/>
    </x:xf>
    <x:xf numFmtId="0" fontId="13" fillId="32" borderId="0" xfId="0" applyNumberFormat="1" applyFont="1" applyFill="1" applyBorder="1" applyAlignment="1">
      <x:alignment wrapText="1"/>
    </x:xf>
    <x:xf numFmtId="0" fontId="16" fillId="34" borderId="1" xfId="0" applyNumberFormat="1" applyFont="1" applyFill="1" applyBorder="1" applyAlignment="1">
      <x:alignment vertical="top" wrapText="1"/>
    </x:xf>
    <x:xf numFmtId="0" fontId="7" fillId="35" borderId="1" xfId="0" applyNumberFormat="1" applyFont="1" applyFill="1" applyBorder="1" applyAlignment="1">
      <x:alignment vertical="top" wrapText="1"/>
    </x:xf>
    <x:xf numFmtId="0" fontId="4" fillId="36" borderId="1" xfId="0" applyNumberFormat="1" applyFont="1" applyFill="1" applyBorder="1" applyAlignment="1">
      <x:alignment vertical="top" wrapText="1"/>
    </x:xf>
    <x:xf numFmtId="0" fontId="11" fillId="36" borderId="0" xfId="0" applyNumberFormat="1" applyFont="1" applyFill="1" applyBorder="1" applyAlignment="1">
      <x:alignment wrapText="1"/>
    </x:xf>
    <x:xf numFmtId="0" fontId="11" fillId="36" borderId="1" xfId="0" applyNumberFormat="1" applyFont="1" applyFill="1" applyBorder="1" applyAlignment="1">
      <x:alignment vertical="top" wrapText="1"/>
    </x:xf>
    <x:xf numFmtId="0" fontId="13" fillId="35" borderId="1" xfId="0" applyNumberFormat="1" applyFont="1" applyFill="1" applyBorder="1" applyAlignment="1">
      <x:alignment vertical="top" wrapText="1"/>
    </x:xf>
    <x:xf numFmtId="0" fontId="13" fillId="35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bc13010bc4f8a" /><Relationship Type="http://schemas.openxmlformats.org/officeDocument/2006/relationships/theme" Target="/xl/theme/theme1.xml" Id="Reca924e5b9f54dd3" /><Relationship Type="http://schemas.openxmlformats.org/officeDocument/2006/relationships/sharedStrings" Target="/xl/sharedStrings.xml" Id="R0adc0bd9a94249de" /><Relationship Type="http://schemas.openxmlformats.org/officeDocument/2006/relationships/worksheet" Target="/xl/worksheets/sheet1.xml" Id="R9c161b1450f249c9" /><Relationship Type="http://schemas.openxmlformats.org/officeDocument/2006/relationships/worksheet" Target="/xl/worksheets/sheet2.xml" Id="R08dc11f2f513499d" /><Relationship Type="http://schemas.openxmlformats.org/officeDocument/2006/relationships/worksheet" Target="/xl/worksheets/sheet3.xml" Id="R4423a1dda3a64b42" /><Relationship Type="http://schemas.openxmlformats.org/officeDocument/2006/relationships/worksheet" Target="/xl/worksheets/sheet4.xml" Id="Rd7b89a0403d144f4" /><Relationship Type="http://schemas.openxmlformats.org/officeDocument/2006/relationships/worksheet" Target="/xl/worksheets/sheet5.xml" Id="Rb2c99f46c9134585" /><Relationship Type="http://schemas.openxmlformats.org/officeDocument/2006/relationships/worksheet" Target="/xl/worksheets/sheet6.xml" Id="Ra1063fb648b2413f" /><Relationship Type="http://schemas.openxmlformats.org/officeDocument/2006/relationships/worksheet" Target="/xl/worksheets/sheet7.xml" Id="R44c97d6d8d474108" /><Relationship Type="http://schemas.openxmlformats.org/officeDocument/2006/relationships/worksheet" Target="/xl/worksheets/sheet8.xml" Id="R145fa77e844e4e31" /><Relationship Type="http://schemas.openxmlformats.org/officeDocument/2006/relationships/worksheet" Target="/xl/worksheets/sheet9.xml" Id="R5657587599d24769" /></Relationships>
</file>

<file path=xl/tables/table1.xml><?xml version="1.0" encoding="utf-8"?>
<x:table xmlns:x="http://schemas.openxmlformats.org/spreadsheetml/2006/main" id="10" name="Table1" displayName="Table1" ref="A1:D15" headerRowCount="1" totalsRowCount="0" totalsRowShown="0">
  <x:tableColumns count="4">
    <x:tableColumn id="1" name="Field"/>
    <x:tableColumn id="2" name="Value"/>
    <x:tableColumn id="3" name="Updated"/>
    <x:tableColumn id="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Table2" displayName="Table2" ref="A1:I21" headerRowCount="1" totalsRowCount="0" totalsRowShown="0">
  <x:tableColumns count="9">
    <x:tableColumn id="1" name="ID"/>
    <x:tableColumn id="2" name="Date"/>
    <x:tableColumn id="3" name="Area"/>
    <x:tableColumn id="4" name="Decision"/>
    <x:tableColumn id="5" name="Rationale"/>
    <x:tableColumn id="6" name="Alternatives"/>
    <x:tableColumn id="7" name="Status"/>
    <x:tableColumn id="8" name="Owner"/>
    <x:tableColumn id="9" name="Link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Table3" displayName="Table3" ref="A1:Q50" headerRowCount="1" totalsRowCount="0" totalsRowShown="0">
  <x:tableColumns count="17">
    <x:tableColumn id="1" name="ID"/>
    <x:tableColumn id="2" name="Title"/>
    <x:tableColumn id="3" name="URL"/>
    <x:tableColumn id="4" name="Type"/>
    <x:tableColumn id="5" name="Creator"/>
    <x:tableColumn id="6" name="Accessed"/>
    <x:tableColumn id="7" name="Engine Version"/>
    <x:tableColumn id="8" name="Language Tool"/>
    <x:tableColumn id="9" name="License"/>
    <x:tableColumn id="10" name="Intended Use"/>
    <x:tableColumn id="11" name="Milestone System"/>
    <x:tableColumn id="12" name="Summary"/>
    <x:tableColumn id="13" name="Compatibility"/>
    <x:tableColumn id="14" name="Adaptation Notes"/>
    <x:tableColumn id="15" name="Local Path"/>
    <x:tableColumn id="16" name="Disposition"/>
    <x:tableColumn id="17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3" name="Table4" displayName="Table4" ref="A1:I12" headerRowCount="1" totalsRowCount="0" totalsRowShown="0">
  <x:tableColumns count="9">
    <x:tableColumn id="1" name="ID"/>
    <x:tableColumn id="2" name="Order"/>
    <x:tableColumn id="3" name="Outcome"/>
    <x:tableColumn id="4" name="Dependencies"/>
    <x:tableColumn id="5" name="Acceptance Criteria"/>
    <x:tableColumn id="6" name="Verification"/>
    <x:tableColumn id="7" name="Status"/>
    <x:tableColumn id="8" name="Owner"/>
    <x:tableColumn id="9" name="Link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4" name="Table5" displayName="Table5" ref="A1:I18" headerRowCount="1" totalsRowCount="0" totalsRowShown="0">
  <x:tableColumns count="9">
    <x:tableColumn id="1" name="ID"/>
    <x:tableColumn id="2" name="Date Time"/>
    <x:tableColumn id="3" name="Plan Task"/>
    <x:tableColumn id="4" name="Summary"/>
    <x:tableColumn id="5" name="Files"/>
    <x:tableColumn id="6" name="Commit"/>
    <x:tableColumn id="7" name="Validation"/>
    <x:tableColumn id="8" name="Result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Table6" displayName="Table6" ref="A1:K31" headerRowCount="1" totalsRowCount="0" totalsRowShown="0">
  <x:tableColumns count="11">
    <x:tableColumn id="1" name="ID"/>
    <x:tableColumn id="2" name="Date Time"/>
    <x:tableColumn id="3" name="Milestone Task"/>
    <x:tableColumn id="4" name="Test"/>
    <x:tableColumn id="5" name="Environment"/>
    <x:tableColumn id="6" name="Expected"/>
    <x:tableColumn id="7" name="Actual"/>
    <x:tableColumn id="8" name="Evidence"/>
    <x:tableColumn id="9" name="Severity"/>
    <x:tableColumn id="10" name="Status"/>
    <x:tableColumn id="11" name="Own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6" name="Table7" displayName="Table7" ref="A1:J17" headerRowCount="1" totalsRowCount="0" totalsRowShown="0">
  <x:tableColumns count="10">
    <x:tableColumn id="1" name="ID"/>
    <x:tableColumn id="2" name="Date"/>
    <x:tableColumn id="3" name="Area"/>
    <x:tableColumn id="4" name="Risk Question"/>
    <x:tableColumn id="5" name="Impact"/>
    <x:tableColumn id="6" name="Mitigation Next Step"/>
    <x:tableColumn id="7" name="Owner"/>
    <x:tableColumn id="8" name="Status"/>
    <x:tableColumn id="9" name="Decision Deadline"/>
    <x:tableColumn id="10" name="Link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7" name="Table8" displayName="Table8" ref="A1:L1" headerRowCount="1" totalsRowCount="0" totalsRowShown="0">
  <x:tableColumns count="12">
    <x:tableColumn id="1" name="ID"/>
    <x:tableColumn id="2" name="Date Time"/>
    <x:tableColumn id="3" name="Version"/>
    <x:tableColumn id="4" name="Commit"/>
    <x:tableColumn id="5" name="Target"/>
    <x:tableColumn id="6" name="Preset"/>
    <x:tableColumn id="7" name="Artifact"/>
    <x:tableColumn id="8" name="Checksum"/>
    <x:tableColumn id="9" name="Tests"/>
    <x:tableColumn id="10" name="Destination"/>
    <x:tableColumn id="11" name="Status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8" name="Table9" displayName="Table9" ref="A1:N2" headerRowCount="1" totalsRowCount="0" totalsRowShown="0">
  <x:tableColumns count="14">
    <x:tableColumn id="1" name="ID"/>
    <x:tableColumn id="2" name="Platform"/>
    <x:tableColumn id="3" name="Deliverable"/>
    <x:tableColumn id="4" name="Purpose"/>
    <x:tableColumn id="5" name="Dimensions Limits"/>
    <x:tableColumn id="6" name="Format"/>
    <x:tableColumn id="7" name="Requirement URL"/>
    <x:tableColumn id="8" name="Checked Date"/>
    <x:tableColumn id="9" name="Source Files"/>
    <x:tableColumn id="10" name="Output Path"/>
    <x:tableColumn id="11" name="Rights Disclosure"/>
    <x:tableColumn id="12" name="Status"/>
    <x:tableColumn id="13" name="Approval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c0c948981840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287403703d43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419669b3ef4d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441fd6f2eb48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011b5ccea434e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a6487bbd1ba46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07de043fbbb40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a7678d8d9be4a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274a15e46554a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" hidden="0" customWidth="1"/>
    <x:col min="2" max="2" width="48" hidden="0" customWidth="1"/>
    <x:col min="3" max="3" width="14" hidden="0" customWidth="1"/>
    <x:col min="4" max="4" width="70" hidden="0" customWidth="1"/>
  </x:cols>
  <x:sheetData>
    <x:row r="1" ht="30" customHeight="1">
      <x:c r="A1" s="9" t="str">
        <x:v>Field</x:v>
      </x:c>
      <x:c r="B1" s="9" t="str">
        <x:v>Value</x:v>
      </x:c>
      <x:c r="C1" s="9" t="str">
        <x:v>Updated</x:v>
      </x:c>
      <x:c r="D1" s="9" t="str">
        <x:v>Notes</x:v>
      </x:c>
    </x:row>
    <x:row r="2" ht="38" customHeight="1">
      <x:c r="A2" s="10" t="str">
        <x:v>Project</x:v>
      </x:c>
      <x:c r="B2" s="10" t="str">
        <x:v>Redot Plugin Compatibility Tester</x:v>
      </x:c>
      <x:c r="C2" s="27" t="str">
        <x:v>2026-08-10</x:v>
      </x:c>
      <x:c r="D2" s="10" t="str">
        <x:v>Canonical preflight and implementation-planning records for the redot-compat CLI.</x:v>
      </x:c>
    </x:row>
    <x:row r="3" ht="38" customHeight="1">
      <x:c r="A3" s="11" t="str">
        <x:v>Destination</x:v>
      </x:c>
      <x:c r="B3" s="11" t="str">
        <x:v>plugins/compatester</x:v>
      </x:c>
      <x:c r="C3" s="26" t="str">
        <x:v>2026-08-10</x:v>
      </x:c>
      <x:c r="D3" s="11" t="str">
        <x:v>Workspace subfolder requested by the user.</x:v>
      </x:c>
    </x:row>
    <x:row r="4" ht="38" customHeight="1">
      <x:c r="A4" s="10" t="str">
        <x:v>Owner</x:v>
      </x:c>
      <x:c r="B4" s="10" t="str">
        <x:v>Project</x:v>
      </x:c>
      <x:c r="C4" s="27" t="str">
        <x:v>2026-08-10</x:v>
      </x:c>
      <x:c r="D4" s="10" t="str">
        <x:v>No individual owner was specified.</x:v>
      </x:c>
    </x:row>
    <x:row r="5" ht="38" customHeight="1">
      <x:c r="A5" s="11" t="str">
        <x:v>Redot Product Version</x:v>
      </x:c>
      <x:c r="B5" s="11" t="str">
        <x:v>26.2 stable</x:v>
      </x:c>
      <x:c r="C5" s="26" t="str">
        <x:v>2026-08-10</x:v>
      </x:c>
      <x:c r="D5" s="11" t="str">
        <x:v>Installed build: 26.2.stable.official.4f5b14aba.</x:v>
      </x:c>
    </x:row>
    <x:row r="6" ht="38" customHeight="1">
      <x:c r="A6" s="10" t="str">
        <x:v>Compatibility Lineage</x:v>
      </x:c>
      <x:c r="B6" s="10" t="str">
        <x:v>Godot 4.5.2</x:v>
      </x:c>
      <x:c r="C6" s="27" t="str">
        <x:v>2026-08-10</x:v>
      </x:c>
      <x:c r="D6" s="10" t="str">
        <x:v>Keep separate from the Redot product version.</x:v>
      </x:c>
    </x:row>
    <x:row r="7" ht="38" customHeight="1">
      <x:c r="A7" s="11" t="str">
        <x:v>Status</x:v>
      </x:c>
      <x:c r="B7" s="134" t="str">
        <x:v>0.1.0 Alpha — Local Gates Closed</x:v>
      </x:c>
      <x:c r="C7" s="26" t="n">
        <x:v>46244</x:v>
      </x:c>
      <x:c r="D7" s="11" t="str">
        <x:v>Static inspection, trusted Windows phases, hardened Docker execution, exact Godot comparison, reports, batches, packaging, and Mono capability are locally verified.</x:v>
      </x:c>
    </x:row>
    <x:row r="8" ht="38" customHeight="1">
      <x:c r="A8" s="10" t="str">
        <x:v>Decision Gate</x:v>
      </x:c>
      <x:c r="B8" s="135" t="str">
        <x:v>Alpha GO / 1.0 Gates Open</x:v>
      </x:c>
      <x:c r="C8" s="27" t="n">
        <x:v>46244</x:v>
      </x:c>
      <x:c r="D8" s="10" t="str">
        <x:v>G-02, G-03, G-05, and optional Mono are closed. Canonical Linux G-01 CI, the full G-04 matrix, G-06, macOS, and publication remain outside this local closure.</x:v>
      </x:c>
    </x:row>
    <x:row r="9" ht="38" customHeight="1">
      <x:c r="A9" s="11" t="str">
        <x:v>Implementation Plan</x:v>
      </x:c>
      <x:c r="B9" s="11" t="str">
        <x:v>docs/gamedev/implementation-plan.md</x:v>
      </x:c>
      <x:c r="C9" s="26" t="n">
        <x:v>46244</x:v>
      </x:c>
      <x:c r="D9" s="11" t="str">
        <x:v>Canonical executable plan; the original root draft remains design-source material.</x:v>
      </x:c>
    </x:row>
    <x:row r="10" ht="38" customHeight="1">
      <x:c r="A10" s="10" t="str">
        <x:v>Preflight Report</x:v>
      </x:c>
      <x:c r="B10" s="10" t="str">
        <x:v>docs/gamedev/preflight-report.md</x:v>
      </x:c>
      <x:c r="C10" s="27" t="str">
        <x:v>2026-08-10</x:v>
      </x:c>
      <x:c r="D10" s="10" t="str">
        <x:v>Narrative synthesis and gate conditions.</x:v>
      </x:c>
    </x:row>
    <x:row r="11" ht="38" customHeight="1">
      <x:c r="A11" s="11" t="str">
        <x:v>Reference Bundle</x:v>
      </x:c>
      <x:c r="B11" s="11" t="str">
        <x:v>docs/gamedev/references/</x:v>
      </x:c>
      <x:c r="C11" s="26" t="str">
        <x:v>2026-08-10</x:v>
      </x:c>
      <x:c r="D11" s="11" t="str">
        <x:v>API JSON, engine evidence, audit, and query ledger.</x:v>
      </x:c>
    </x:row>
    <x:row r="12" ht="38" customHeight="1">
      <x:c r="A12" s="10" t="str">
        <x:v>Source Records</x:v>
      </x:c>
      <x:c r="B12" s="10" t="n">
        <x:f>COUNTA('Sources'!A2:A200)</x:f>
        <x:v>49</x:v>
      </x:c>
      <x:c r="C12" s="27" t="str">
        <x:v>2026-08-10</x:v>
      </x:c>
      <x:c r="D12" s="10" t="str">
        <x:v>Calculated from the Sources sheet.</x:v>
      </x:c>
    </x:row>
    <x:row r="13" ht="38" customHeight="1">
      <x:c r="A13" s="11" t="str">
        <x:v>Adopt or Adapt Sources</x:v>
      </x:c>
      <x:c r="B13" s="11" t="n">
        <x:f>COUNTIF('Sources'!P2:P200,"Adopt")+COUNTIF('Sources'!P2:P200,"Adapt")</x:f>
        <x:v>46</x:v>
      </x:c>
      <x:c r="C13" s="26" t="str">
        <x:v>2026-08-10</x:v>
      </x:c>
      <x:c r="D13" s="11" t="str">
        <x:v>Calculated from source dispositions.</x:v>
      </x:c>
    </x:row>
    <x:row r="14" ht="38" customHeight="1">
      <x:c r="A14" s="10" t="str">
        <x:v>Open or Blocked Risks</x:v>
      </x:c>
      <x:c r="B14" s="10" t="n">
        <x:f>COUNTIF('Risks'!H2:H200,"Open")+COUNTIF('Risks'!H2:H200,"Blocked")</x:f>
        <x:v>4</x:v>
      </x:c>
      <x:c r="C14" s="27" t="str">
        <x:v>2026-08-10</x:v>
      </x:c>
      <x:c r="D14" s="10" t="str">
        <x:v>Calculated from the Risks sheet.</x:v>
      </x:c>
    </x:row>
    <x:row r="15" ht="38" customHeight="1">
      <x:c r="A15" s="11" t="str">
        <x:v>Audit FAIL or BLOCKED</x:v>
      </x:c>
      <x:c r="B15" s="11" t="n">
        <x:f>COUNTIF('QA'!J2:J200,"FAIL")+COUNTIF('QA'!J2:J200,"BLOCKED")</x:f>
        <x:v>13</x:v>
      </x:c>
      <x:c r="C15" s="26" t="str">
        <x:v>2026-08-10</x:v>
      </x:c>
      <x:c r="D15" s="11" t="str">
        <x:v>Calculated from retained QA/audit findings.</x:v>
      </x:c>
    </x:row>
  </x:sheetData>
  <x:pageMargins left="0.7" right="0.7" top="0.75" bottom="0.75" header="0.3" footer="0.3"/>
  <x:tableParts count="1">
    <x:tablePart xmlns:r="http://schemas.openxmlformats.org/officeDocument/2006/relationships" r:id="R8fc0c948981840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hidden="0" customWidth="1"/>
    <x:col min="2" max="2" width="13" hidden="0" customWidth="1"/>
    <x:col min="3" max="3" width="20" hidden="0" customWidth="1"/>
    <x:col min="4" max="4" width="48" hidden="0" customWidth="1"/>
    <x:col min="5" max="5" width="55" hidden="0" customWidth="1"/>
    <x:col min="6" max="6" width="40" hidden="0" customWidth="1"/>
    <x:col min="7" max="7" width="15" hidden="0" customWidth="1"/>
    <x:col min="8" max="8" width="14" hidden="0" customWidth="1"/>
    <x:col min="9" max="9" width="52" hidden="0" customWidth="1"/>
  </x:cols>
  <x:sheetData>
    <x:row r="1" ht="30" customHeight="1">
      <x:c r="A1" s="9" t="str">
        <x:v>ID</x:v>
      </x:c>
      <x:c r="B1" s="9" t="str">
        <x:v>Date</x:v>
      </x:c>
      <x:c r="C1" s="9" t="str">
        <x:v>Area</x:v>
      </x:c>
      <x:c r="D1" s="9" t="str">
        <x:v>Decision</x:v>
      </x:c>
      <x:c r="E1" s="9" t="str">
        <x:v>Rationale</x:v>
      </x:c>
      <x:c r="F1" s="9" t="str">
        <x:v>Alternatives</x:v>
      </x:c>
      <x:c r="G1" s="9" t="str">
        <x:v>Status</x:v>
      </x:c>
      <x:c r="H1" s="9" t="str">
        <x:v>Owner</x:v>
      </x:c>
      <x:c r="I1" s="9" t="str">
        <x:v>Links</x:v>
      </x:c>
    </x:row>
    <x:row r="2" ht="50" customHeight="1">
      <x:c r="A2" s="10" t="str">
        <x:v>DEC-001</x:v>
      </x:c>
      <x:c r="B2" s="10" t="str">
        <x:v>2026-08-10</x:v>
      </x:c>
      <x:c r="C2" s="10" t="str">
        <x:v>Scope</x:v>
      </x:c>
      <x:c r="D2" s="10" t="str">
        <x:v>Conditional GO for Milestones 0-1</x:v>
      </x:c>
      <x:c r="E2" s="10" t="str">
        <x:v>The architecture is viable and the static inspector has a safe, testable first slice.</x:v>
      </x:c>
      <x:c r="F2" s="10" t="str">
        <x:v>Stop all work; begin dynamic tester immediately</x:v>
      </x:c>
      <x:c r="G2" s="13" t="str">
        <x:v>Confirmed</x:v>
      </x:c>
      <x:c r="H2" s="10" t="str">
        <x:v>Project</x:v>
      </x:c>
      <x:c r="I2" s="24" t="str">
        <x:v>docs/gamedev/preflight-report.md#outcome</x:v>
      </x:c>
    </x:row>
    <x:row r="3" ht="50" customHeight="1">
      <x:c r="A3" s="11" t="str">
        <x:v>DEC-002</x:v>
      </x:c>
      <x:c r="B3" s="11" t="str">
        <x:v>2026-08-10</x:v>
      </x:c>
      <x:c r="C3" s="11" t="str">
        <x:v>Engine identity</x:v>
      </x:c>
      <x:c r="D3" s="11" t="str">
        <x:v>Store Redot 26.2 and Godot lineage 4.5.2 separately</x:v>
      </x:c>
      <x:c r="E3" s="11" t="str">
        <x:v>Tagged metadata and the installed build expose two distinct identities.</x:v>
      </x:c>
      <x:c r="F3" s="11" t="str">
        <x:v>Compare plugin versions directly to 26.2</x:v>
      </x:c>
      <x:c r="G3" s="13" t="str">
        <x:v>Confirmed</x:v>
      </x:c>
      <x:c r="H3" s="11" t="str">
        <x:v>Project</x:v>
      </x:c>
      <x:c r="I3" s="25" t="str">
        <x:v>docs/gamedev/references/redot-26.2-engine-evidence.md</x:v>
      </x:c>
    </x:row>
    <x:row r="4" ht="50" customHeight="1">
      <x:c r="A4" s="10" t="str">
        <x:v>DEC-003</x:v>
      </x:c>
      <x:c r="B4" s="10" t="str">
        <x:v>2026-08-10</x:v>
      </x:c>
      <x:c r="C4" s="10" t="str">
        <x:v>Classification</x:v>
      </x:c>
      <x:c r="D4" s="10" t="str">
        <x:v>Keep baseline-policy skip separate from tested compatibility</x:v>
      </x:c>
      <x:c r="E4" s="10" t="str">
        <x:v>A policy skip does not prove package layout, platform artifacts, activation, or runtime behavior.</x:v>
      </x:c>
      <x:c r="F4" s="10" t="str">
        <x:v>Treat &lt;=4.5.2 as COMPATIBLE_TESTED</x:v>
      </x:c>
      <x:c r="G4" s="13" t="str">
        <x:v>Confirmed</x:v>
      </x:c>
      <x:c r="H4" s="10" t="str">
        <x:v>Project</x:v>
      </x:c>
      <x:c r="I4" s="24" t="str">
        <x:v>docs/gamedev/preflight-report.md#3-compatibility-evidence-must-be-package-type-specific</x:v>
      </x:c>
    </x:row>
    <x:row r="5" ht="50" customHeight="1">
      <x:c r="A5" s="11" t="str">
        <x:v>DEC-004</x:v>
      </x:c>
      <x:c r="B5" s="11" t="str">
        <x:v>2026-08-10</x:v>
      </x:c>
      <x:c r="C5" s="11" t="str">
        <x:v>Version evidence</x:v>
      </x:c>
      <x:c r="D5" s="11" t="str">
        <x:v>Use package-type-specific evidence precedence</x:v>
      </x:c>
      <x:c r="E5" s="11" t="str">
        <x:v>Native, Rust, .NET, and GDScript packages expose different authoritative signals.</x:v>
      </x:c>
      <x:c r="F5" s="11" t="str">
        <x:v>One universal ranking led by store metadata</x:v>
      </x:c>
      <x:c r="G5" s="13" t="str">
        <x:v>Confirmed</x:v>
      </x:c>
      <x:c r="H5" s="11" t="str">
        <x:v>Project</x:v>
      </x:c>
      <x:c r="I5" s="25" t="str">
        <x:v>docs/gamedev/preflight-report.md#3-compatibility-evidence-must-be-package-type-specific</x:v>
      </x:c>
    </x:row>
    <x:row r="6" ht="50" customHeight="1">
      <x:c r="A6" s="10" t="str">
        <x:v>DEC-005</x:v>
      </x:c>
      <x:c r="B6" s="10" t="str">
        <x:v>2026-08-10</x:v>
      </x:c>
      <x:c r="C6" s="10" t="str">
        <x:v>Acquisition</x:v>
      </x:c>
      <x:c r="D6" s="10" t="str">
        <x:v>Resolve mutable refs to full commits and hash received bytes</x:v>
      </x:c>
      <x:c r="E6" s="10" t="str">
        <x:v>Tags and latest-release names can move; content hashes provide the artifact identity.</x:v>
      </x:c>
      <x:c r="F6" s="10" t="str">
        <x:v>Trust tag names or release dates</x:v>
      </x:c>
      <x:c r="G6" s="13" t="str">
        <x:v>Confirmed</x:v>
      </x:c>
      <x:c r="H6" s="10" t="str">
        <x:v>Project</x:v>
      </x:c>
      <x:c r="I6" s="24" t="str">
        <x:v>docs/gamedev/preflight-report.md#4-source-acquisition-contracts</x:v>
      </x:c>
    </x:row>
    <x:row r="7" ht="50" customHeight="1">
      <x:c r="A7" s="11" t="str">
        <x:v>DEC-006</x:v>
      </x:c>
      <x:c r="B7" s="11" t="str">
        <x:v>2026-08-10</x:v>
      </x:c>
      <x:c r="C7" s="11" t="str">
        <x:v>Archive safety</x:v>
      </x:c>
      <x:c r="D7" s="11" t="str">
        <x:v>Mandate explicit TAR data filter and ZIP member preflight</x:v>
      </x:c>
      <x:c r="E7" s="11" t="str">
        <x:v>Python defaults are insufficient for the full hostile archive contract.</x:v>
      </x:c>
      <x:c r="F7" s="11" t="str">
        <x:v>Rely on extractall sanitization</x:v>
      </x:c>
      <x:c r="G7" s="13" t="str">
        <x:v>Confirmed</x:v>
      </x:c>
      <x:c r="H7" s="11" t="str">
        <x:v>Project</x:v>
      </x:c>
      <x:c r="I7" s="25" t="str">
        <x:v>docs/gamedev/preflight-report.md#5-hostile-archive-contract</x:v>
      </x:c>
    </x:row>
    <x:row r="8" ht="50" customHeight="1">
      <x:c r="A8" s="10" t="str">
        <x:v>DEC-007</x:v>
      </x:c>
      <x:c r="B8" s="10" t="str">
        <x:v>2026-08-10</x:v>
      </x:c>
      <x:c r="C8" s="10" t="str">
        <x:v>Windows runner</x:v>
      </x:c>
      <x:c r="D8" s="10" t="str">
        <x:v>Use a kill-on-close Job Object as the termination guarantee</x:v>
      </x:c>
      <x:c r="E8" s="10" t="str">
        <x:v>Job Objects own a descendant group and survive controller error paths better than discovery-only cleanup.</x:v>
      </x:c>
      <x:c r="F8" s="10" t="str">
        <x:v>psutil-only descendant termination</x:v>
      </x:c>
      <x:c r="G8" s="13" t="str">
        <x:v>Confirmed</x:v>
      </x:c>
      <x:c r="H8" s="10" t="str">
        <x:v>Project</x:v>
      </x:c>
      <x:c r="I8" s="24" t="str">
        <x:v>docs/gamedev/preflight-report.md#6-execution-containment-and-process-control</x:v>
      </x:c>
    </x:row>
    <x:row r="9" ht="50" customHeight="1">
      <x:c r="A9" s="11" t="str">
        <x:v>DEC-008</x:v>
      </x:c>
      <x:c r="B9" s="11" t="str">
        <x:v>2026-08-10</x:v>
      </x:c>
      <x:c r="C9" s="11" t="str">
        <x:v>Docker</x:v>
      </x:c>
      <x:c r="D9" s="11" t="str">
        <x:v>Keep Docker as default Linux containment with explicit residual risk</x:v>
      </x:c>
      <x:c r="E9" s="11" t="str">
        <x:v>The planned flags reduce risk but daemon, mount, and kernel boundaries remain.</x:v>
      </x:c>
      <x:c r="F9" s="11" t="str">
        <x:v>Call Docker a complete hostile-code sandbox</x:v>
      </x:c>
      <x:c r="G9" s="13" t="str">
        <x:v>Confirmed</x:v>
      </x:c>
      <x:c r="H9" s="11" t="str">
        <x:v>Project</x:v>
      </x:c>
      <x:c r="I9" s="25" t="str">
        <x:v>docs/gamedev/preflight-report.md#docker-linux-worker</x:v>
      </x:c>
    </x:row>
    <x:row r="10" ht="50" customHeight="1">
      <x:c r="A10" s="10" t="str">
        <x:v>DEC-009</x:v>
      </x:c>
      <x:c r="B10" s="10" t="str">
        <x:v>2026-08-10</x:v>
      </x:c>
      <x:c r="C10" s="10" t="str">
        <x:v>Rust</x:v>
      </x:c>
      <x:c r="D10" s="10" t="str">
        <x:v>Trial godot-rust api-custom-json; do not assume a shared Redot-Rust layer</x:v>
      </x:c>
      <x:c r="E10" s="10" t="str">
        <x:v>No maintained shared layer was found, while godot-rust documents custom API JSON support.</x:v>
      </x:c>
      <x:c r="F10" s="10" t="str">
        <x:v>Create a plugin-local fork; wait for an unspecified layer</x:v>
      </x:c>
      <x:c r="G10" s="13" t="str">
        <x:v>Confirmed</x:v>
      </x:c>
      <x:c r="H10" s="10" t="str">
        <x:v>Project</x:v>
      </x:c>
      <x:c r="I10" s="24" t="str">
        <x:v>docs/gamedev/preflight-report.md#rust</x:v>
      </x:c>
    </x:row>
    <x:row r="11" ht="50" customHeight="1">
      <x:c r="A11" s="11" t="str">
        <x:v>DEC-010</x:v>
      </x:c>
      <x:c r="B11" s="11" t="str">
        <x:v>2026-08-10</x:v>
      </x:c>
      <x:c r="C11" s="11" t="str">
        <x:v>Dependencies</x:v>
      </x:c>
      <x:c r="D11" s="11" t="str">
        <x:v>Adopt the proposed Python stack with runtime/presentation/dev boundaries</x:v>
      </x:c>
      <x:c r="E11" s="11" t="str">
        <x:v>Direct licenses are compatible and the components remove real protocol/schema work.</x:v>
      </x:c>
      <x:c r="F11" s="11" t="str">
        <x:v>Stdlib-only CLI; add every tool to runtime</x:v>
      </x:c>
      <x:c r="G11" s="13" t="str">
        <x:v>Confirmed</x:v>
      </x:c>
      <x:c r="H11" s="11" t="str">
        <x:v>Project</x:v>
      </x:c>
      <x:c r="I11" s="25" t="str">
        <x:v>docs/gamedev/preflight-report.md#8-pythontooling-recommendation-and-licenses</x:v>
      </x:c>
    </x:row>
    <x:row r="12" ht="50" customHeight="1">
      <x:c r="A12" s="10" t="str">
        <x:v>DEC-011</x:v>
      </x:c>
      <x:c r="B12" s="10" t="str">
        <x:v>2026-08-10</x:v>
      </x:c>
      <x:c r="C12" s="10" t="str">
        <x:v>API snapshots</x:v>
      </x:c>
      <x:c r="D12" s="10" t="str">
        <x:v>Use tagged Redot JSON for early unit work but block the doctor gate</x:v>
      </x:c>
      <x:c r="E12" s="10" t="str">
        <x:v>The official tagged snapshot is usable; the configured editor cannot freshly regenerate it.</x:v>
      </x:c>
      <x:c r="F12" s="10" t="str">
        <x:v>Ignore the crash; discard all API work</x:v>
      </x:c>
      <x:c r="G12" s="13" t="str">
        <x:v>Confirmed</x:v>
      </x:c>
      <x:c r="H12" s="10" t="str">
        <x:v>Project</x:v>
      </x:c>
      <x:c r="I12" s="24" t="str">
        <x:v>docs/gamedev/references/redot-26.2-engine-evidence.md#fresh-dump-attempts</x:v>
      </x:c>
    </x:row>
    <x:row r="13" ht="50" customHeight="1">
      <x:c r="A13" s="11" t="str">
        <x:v>DEC-012</x:v>
      </x:c>
      <x:c r="B13" s="11" t="str">
        <x:v>2026-08-10</x:v>
      </x:c>
      <x:c r="C13" s="11" t="str">
        <x:v>Marketplaces</x:v>
      </x:c>
      <x:c r="D13" s="11" t="str">
        <x:v>Treat Asset Library/Store metadata as corroborating only</x:v>
      </x:c>
      <x:c r="E13" s="11" t="str">
        <x:v>Legacy metadata is weak and unhashed; the Store is beta with varied licenses.</x:v>
      </x:c>
      <x:c r="F13" s="11" t="str">
        <x:v>Lead version detection with marketplace fields</x:v>
      </x:c>
      <x:c r="G13" s="13" t="str">
        <x:v>Confirmed</x:v>
      </x:c>
      <x:c r="H13" s="11" t="str">
        <x:v>Project</x:v>
      </x:c>
      <x:c r="I13" s="25" t="str">
        <x:v>docs/gamedev/preflight-report.md#godot-asset-library-and-store</x:v>
      </x:c>
    </x:row>
    <x:row r="14" ht="48" customHeight="1">
      <x:c r="A14" s="55" t="str">
        <x:v>DEC-013</x:v>
      </x:c>
      <x:c r="B14" s="56" t="n">
        <x:v>46244</x:v>
      </x:c>
      <x:c r="C14" s="55" t="str">
        <x:v>Harness design</x:v>
      </x:c>
      <x:c r="D14" s="55" t="str">
        <x:v>Keep the Redot harness minimal, typed, co-located, data-driven, and free of autoload/game scaffolding</x:v>
      </x:c>
      <x:c r="E14" s="55" t="str">
        <x:v>The tester needs only engine-context probes; a general game-project structure would add unrelated state and dependencies.</x:v>
      </x:c>
      <x:c r="F14" s="55" t="str">
        <x:v>Split game layout, autoload managers, or a general in-engine test framework</x:v>
      </x:c>
      <x:c r="G14" s="66" t="str">
        <x:v>Confirmed</x:v>
      </x:c>
      <x:c r="H14" s="55" t="str">
        <x:v>Project</x:v>
      </x:c>
      <x:c r="I14" s="58" t="str">
        <x:v>docs/gamedev/implementation-plan.md#harness-scene-and-script-organization</x:v>
      </x:c>
    </x:row>
    <x:row r="15" ht="48" customHeight="1">
      <x:c r="A15" s="60" t="str">
        <x:v>DEC-014</x:v>
      </x:c>
      <x:c r="B15" s="61" t="n">
        <x:v>46244</x:v>
      </x:c>
      <x:c r="C15" s="60" t="str">
        <x:v>Repository</x:v>
      </x:c>
      <x:c r="D15" s="60" t="str">
        <x:v>Implement directly in plugins/compatester and make docs/gamedev/implementation-plan.md canonical</x:v>
      </x:c>
      <x:c r="E15" s="60" t="str">
        <x:v>The requested subfolder is already the project boundary; another nested repository would be redundant.</x:v>
      </x:c>
      <x:c r="F15" s="60" t="str">
        <x:v>Create plugins/compatester/redot-plugin-compat-tester</x:v>
      </x:c>
      <x:c r="G15" s="66" t="str">
        <x:v>Confirmed</x:v>
      </x:c>
      <x:c r="H15" s="60" t="str">
        <x:v>Project</x:v>
      </x:c>
      <x:c r="I15" s="63" t="str">
        <x:v>docs/gamedev/implementation-plan.md#planning-assumptions-and-confirmation-basis</x:v>
      </x:c>
    </x:row>
    <x:row r="16" ht="48" customHeight="1">
      <x:c r="A16" s="55" t="str">
        <x:v>DEC-015</x:v>
      </x:c>
      <x:c r="B16" s="56" t="n">
        <x:v>46244</x:v>
      </x:c>
      <x:c r="C16" s="55" t="str">
        <x:v>Vertical slice</x:v>
      </x:c>
      <x:c r="D16" s="55" t="str">
        <x:v>Make static local inspect plus hostile-archive and golden evidence the first end-to-end slice</x:v>
      </x:c>
      <x:c r="E16" s="55" t="str">
        <x:v>It creates immediate value without executing plugin code and proves the riskiest input boundary first.</x:v>
      </x:c>
      <x:c r="F16" s="55" t="str">
        <x:v>Start with dynamic Redot execution or remote batch</x:v>
      </x:c>
      <x:c r="G16" s="66" t="str">
        <x:v>Confirmed</x:v>
      </x:c>
      <x:c r="H16" s="55" t="str">
        <x:v>Project</x:v>
      </x:c>
      <x:c r="I16" s="58" t="str">
        <x:v>docs/gamedev/implementation-plan.md#g-01--static-inspect-vertical-slice</x:v>
      </x:c>
    </x:row>
    <x:row r="17" ht="48" customHeight="1">
      <x:c r="A17" s="60" t="str">
        <x:v>DEC-016</x:v>
      </x:c>
      <x:c r="B17" s="61" t="n">
        <x:v>46244</x:v>
      </x:c>
      <x:c r="C17" s="60" t="str">
        <x:v>Execution policy</x:v>
      </x:c>
      <x:c r="D17" s="60" t="str">
        <x:v>Permit dynamic execution only after trust and containment gates; public PR CI uses trusted repository fixtures only</x:v>
      </x:c>
      <x:c r="E17" s="60" t="str">
        <x:v>Plugin scripts and native libraries are arbitrary code; safety claims require prior proof.</x:v>
      </x:c>
      <x:c r="F17" s="60" t="str">
        <x:v>Run arbitrary third-party plugins on host or public PR workers</x:v>
      </x:c>
      <x:c r="G17" s="66" t="str">
        <x:v>Confirmed</x:v>
      </x:c>
      <x:c r="H17" s="60" t="str">
        <x:v>Project</x:v>
      </x:c>
      <x:c r="I17" s="63" t="str">
        <x:v>docs/gamedev/implementation-plan.md#execution-containment</x:v>
      </x:c>
    </x:row>
    <x:row r="18" ht="48" customHeight="1">
      <x:c r="A18" s="55" t="str">
        <x:v>DEC-017</x:v>
      </x:c>
      <x:c r="B18" s="56" t="n">
        <x:v>46244</x:v>
      </x:c>
      <x:c r="C18" s="55" t="str">
        <x:v>Result authority</x:v>
      </x:c>
      <x:c r="D18" s="55" t="str">
        <x:v>Treat versioned result.json as authoritative and derive all human reports and summaries</x:v>
      </x:c>
      <x:c r="E18" s="55" t="str">
        <x:v>One machine contract prevents divergent conclusions and enables deterministic reproduction.</x:v>
      </x:c>
      <x:c r="F18" s="55" t="str">
        <x:v>Make Markdown or aggregate summaries independently authoritative</x:v>
      </x:c>
      <x:c r="G18" s="66" t="str">
        <x:v>Confirmed</x:v>
      </x:c>
      <x:c r="H18" s="55" t="str">
        <x:v>Project</x:v>
      </x:c>
      <x:c r="I18" s="58" t="str">
        <x:v>docs/gamedev/implementation-plan.md#public-data-contracts</x:v>
      </x:c>
    </x:row>
    <x:row r="19" ht="48" customHeight="1">
      <x:c r="A19" s="60" t="str">
        <x:v>DEC-018</x:v>
      </x:c>
      <x:c r="B19" s="61" t="n">
        <x:v>46244</x:v>
      </x:c>
      <x:c r="C19" s="60" t="str">
        <x:v>Release scope</x:v>
      </x:c>
      <x:c r="D19" s="60" t="str">
        <x:v>Define version 1.0 as Milestones 0-9 with wheel, sdist, worker image, schemas, checksums, and SBOM</x:v>
      </x:c>
      <x:c r="E19" s="60" t="str">
        <x:v>This closes the core compatibility workflow while deferring optional packaging and build complexity.</x:v>
      </x:c>
      <x:c r="F19" s="60" t="str">
        <x:v>Require HTML, standalone executables, or build adapters for 1.0</x:v>
      </x:c>
      <x:c r="G19" s="66" t="str">
        <x:v>Confirmed</x:v>
      </x:c>
      <x:c r="H19" s="60" t="str">
        <x:v>Project</x:v>
      </x:c>
      <x:c r="I19" s="63" t="str">
        <x:v>docs/gamedev/implementation-plan.md#release-plan</x:v>
      </x:c>
    </x:row>
    <x:row r="20" ht="48" customHeight="1">
      <x:c r="A20" s="55" t="str">
        <x:v>DEC-019</x:v>
      </x:c>
      <x:c r="B20" s="56" t="n">
        <x:v>46244</x:v>
      </x:c>
      <x:c r="C20" s="55" t="str">
        <x:v>Build adapters</x:v>
      </x:c>
      <x:c r="D20" s="55" t="str">
        <x:v>Keep trusted build adapters optional post-core work with separate approval and isolation</x:v>
      </x:c>
      <x:c r="E20" s="55" t="str">
        <x:v>Arbitrary build systems materially expand execution and supply-chain risk and are not needed for the core tester.</x:v>
      </x:c>
      <x:c r="F20" s="55" t="str">
        <x:v>Run arbitrary builds in version 1.0</x:v>
      </x:c>
      <x:c r="G20" s="66" t="str">
        <x:v>Confirmed</x:v>
      </x:c>
      <x:c r="H20" s="55" t="str">
        <x:v>Project</x:v>
      </x:c>
      <x:c r="I20" s="58" t="str">
        <x:v>docs/gamedev/implementation-plan.md#ms-011--optional-trusted-build-adapters</x:v>
      </x:c>
    </x:row>
    <x:row r="21" ht="48" customHeight="1">
      <x:c r="A21" s="60" t="str">
        <x:v>DEC-020</x:v>
      </x:c>
      <x:c r="B21" s="61" t="n">
        <x:v>46244</x:v>
      </x:c>
      <x:c r="C21" s="60" t="str">
        <x:v>Control engines</x:v>
      </x:c>
      <x:c r="D21" s="60" t="str">
        <x:v>Require exact configured engine identities; the bundled Godot 4.5.0 JSON is reference-only</x:v>
      </x:c>
      <x:c r="E21" s="60" t="str">
        <x:v>Differential blame is invalid if a nearby reference silently substitutes for the claimed control.</x:v>
      </x:c>
      <x:c r="F21" s="60" t="str">
        <x:v>Use the bundled 4.5.0 JSON as a 4.5.2 control</x:v>
      </x:c>
      <x:c r="G21" s="66" t="str">
        <x:v>Confirmed</x:v>
      </x:c>
      <x:c r="H21" s="60" t="str">
        <x:v>Project</x:v>
      </x:c>
      <x:c r="I21" s="63" t="str">
        <x:v>docs/gamedev/implementation-plan.md#api-snapshots-and-engine-authority</x:v>
      </x:c>
    </x:row>
  </x:sheetData>
  <x:pageMargins left="0.7" right="0.7" top="0.75" bottom="0.75" header="0.3" footer="0.3"/>
  <x:tableParts count="1">
    <x:tablePart xmlns:r="http://schemas.openxmlformats.org/officeDocument/2006/relationships" r:id="R9c287403703d43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hidden="0" customWidth="1"/>
    <x:col min="2" max="2" width="34" hidden="0" customWidth="1"/>
    <x:col min="3" max="3" width="54" hidden="0" customWidth="1"/>
    <x:col min="4" max="4" width="22" hidden="0" customWidth="1"/>
    <x:col min="5" max="5" width="24" hidden="0" customWidth="1"/>
    <x:col min="6" max="6" width="13" hidden="0" customWidth="1"/>
    <x:col min="7" max="7" width="22" hidden="0" customWidth="1"/>
    <x:col min="8" max="8" width="22" hidden="0" customWidth="1"/>
    <x:col min="9" max="9" width="24" hidden="0" customWidth="1"/>
    <x:col min="10" max="10" width="38" hidden="0" customWidth="1"/>
    <x:col min="11" max="11" width="18" hidden="0" customWidth="1"/>
    <x:col min="12" max="12" width="55" hidden="0" customWidth="1"/>
    <x:col min="13" max="13" width="42" hidden="0" customWidth="1"/>
    <x:col min="14" max="14" width="48" hidden="0" customWidth="1"/>
    <x:col min="15" max="15" width="48" hidden="0" customWidth="1"/>
    <x:col min="16" max="16" width="15" hidden="0" customWidth="1"/>
    <x:col min="17" max="17" width="13" hidden="0" customWidth="1"/>
  </x:cols>
  <x:sheetData>
    <x:row r="1" ht="30" customHeight="1">
      <x:c r="A1" s="9" t="str">
        <x:v>ID</x:v>
      </x:c>
      <x:c r="B1" s="9" t="str">
        <x:v>Title</x:v>
      </x:c>
      <x:c r="C1" s="9" t="str">
        <x:v>URL</x:v>
      </x:c>
      <x:c r="D1" s="9" t="str">
        <x:v>Type</x:v>
      </x:c>
      <x:c r="E1" s="9" t="str">
        <x:v>Creator</x:v>
      </x:c>
      <x:c r="F1" s="9" t="str">
        <x:v>Accessed</x:v>
      </x:c>
      <x:c r="G1" s="9" t="str">
        <x:v>Engine Version</x:v>
      </x:c>
      <x:c r="H1" s="9" t="str">
        <x:v>Language Tool</x:v>
      </x:c>
      <x:c r="I1" s="9" t="str">
        <x:v>License</x:v>
      </x:c>
      <x:c r="J1" s="9" t="str">
        <x:v>Intended Use</x:v>
      </x:c>
      <x:c r="K1" s="9" t="str">
        <x:v>Milestone System</x:v>
      </x:c>
      <x:c r="L1" s="9" t="str">
        <x:v>Summary</x:v>
      </x:c>
      <x:c r="M1" s="9" t="str">
        <x:v>Compatibility</x:v>
      </x:c>
      <x:c r="N1" s="9" t="str">
        <x:v>Adaptation Notes</x:v>
      </x:c>
      <x:c r="O1" s="9" t="str">
        <x:v>Local Path</x:v>
      </x:c>
      <x:c r="P1" s="9" t="str">
        <x:v>Disposition</x:v>
      </x:c>
      <x:c r="Q1" s="9" t="str">
        <x:v>Confidence</x:v>
      </x:c>
    </x:row>
    <x:row r="2" ht="58" customHeight="1">
      <x:c r="A2" s="10" t="str">
        <x:v>SRC-001</x:v>
      </x:c>
      <x:c r="B2" s="10" t="str">
        <x:v>Redot Plugin Compatibility Tester Codex Plan</x:v>
      </x:c>
      <x:c r="C2" s="24" t="str">
        <x:v>Local workspace</x:v>
      </x:c>
      <x:c r="D2" s="10" t="str">
        <x:v>Plan</x:v>
      </x:c>
      <x:c r="E2" s="10" t="str">
        <x:v>Project</x:v>
      </x:c>
      <x:c r="F2" s="27" t="str">
        <x:v>2026-08-10</x:v>
      </x:c>
      <x:c r="G2" s="10" t="str">
        <x:v>Redot 26.2 / Godot 4.5.2</x:v>
      </x:c>
      <x:c r="H2" s="10" t="str">
        <x:v>Product plan</x:v>
      </x:c>
      <x:c r="I2" s="10" t="str">
        <x:v>Project material</x:v>
      </x:c>
      <x:c r="J2" s="10" t="str">
        <x:v>Primary product scope and milestone plan</x:v>
      </x:c>
      <x:c r="K2" s="10" t="str">
        <x:v>M0-M10</x:v>
      </x:c>
      <x:c r="L2" s="10" t="str">
        <x:v>Defines taxonomy, architecture, security posture, and gates.</x:v>
      </x:c>
      <x:c r="M2" s="10" t="str">
        <x:v>Authoritative project policy; several research assumptions require amendment.</x:v>
      </x:c>
      <x:c r="N2" s="10" t="str">
        <x:v>Apply preflight corrections before coding.</x:v>
      </x:c>
      <x:c r="O2" s="10" t="str">
        <x:v>redot_plugin_compatibility_tester_codex_plan.md</x:v>
      </x:c>
      <x:c r="P2" s="15" t="str">
        <x:v>Adapt</x:v>
      </x:c>
      <x:c r="Q2" s="10" t="str">
        <x:v>High</x:v>
      </x:c>
    </x:row>
    <x:row r="3" ht="58" customHeight="1">
      <x:c r="A3" s="11" t="str">
        <x:v>SRC-002</x:v>
      </x:c>
      <x:c r="B3" s="11" t="str">
        <x:v>Redot 26.2 stable release</x:v>
      </x:c>
      <x:c r="C3" s="25" t="str">
        <x:v>https://github.com/Redot-Engine/redot-engine/releases/tag/redot-26.2-stable</x:v>
      </x:c>
      <x:c r="D3" s="11" t="str">
        <x:v>Release</x:v>
      </x:c>
      <x:c r="E3" s="11" t="str">
        <x:v>Redot Engine</x:v>
      </x:c>
      <x:c r="F3" s="26" t="str">
        <x:v>2026-08-10</x:v>
      </x:c>
      <x:c r="G3" s="11" t="str">
        <x:v>26.2</x:v>
      </x:c>
      <x:c r="H3" s="11" t="str">
        <x:v>Redot</x:v>
      </x:c>
      <x:c r="I3" s="11" t="str">
        <x:v>MIT; release assets</x:v>
      </x:c>
      <x:c r="J3" s="11" t="str">
        <x:v>Release identity, dates, assets, and published digests</x:v>
      </x:c>
      <x:c r="K3" s="11" t="str">
        <x:v>M2,M9</x:v>
      </x:c>
      <x:c r="L3" s="11" t="str">
        <x:v>Official release at tag commit 4f5b14abade2239104847d03d8f9056e4467cfcd.</x:v>
      </x:c>
      <x:c r="M3" s="11" t="str">
        <x:v>Matches installed short commit and export-template digest.</x:v>
      </x:c>
      <x:c r="N3" s="11" t="str">
        <x:v>Retain archive digest and extraction provenance.</x:v>
      </x:c>
      <x:c r="O3" s="11" t="str">
        <x:v>docs/gamedev/references/redot-26.2-engine-evidence.md</x:v>
      </x:c>
      <x:c r="P3" s="11" t="str">
        <x:v>Adopt</x:v>
      </x:c>
      <x:c r="Q3" s="11" t="str">
        <x:v>High</x:v>
      </x:c>
    </x:row>
    <x:row r="4" ht="58" customHeight="1">
      <x:c r="A4" s="10" t="str">
        <x:v>SRC-003</x:v>
      </x:c>
      <x:c r="B4" s="10" t="str">
        <x:v>Redot 26.2 version.py</x:v>
      </x:c>
      <x:c r="C4" s="24" t="str">
        <x:v>https://raw.githubusercontent.com/Redot-Engine/redot-engine/redot-26.2-stable/version.py</x:v>
      </x:c>
      <x:c r="D4" s="10" t="str">
        <x:v>Tagged source metadata</x:v>
      </x:c>
      <x:c r="E4" s="10" t="str">
        <x:v>Redot Engine</x:v>
      </x:c>
      <x:c r="F4" s="27" t="str">
        <x:v>2026-08-10</x:v>
      </x:c>
      <x:c r="G4" s="10" t="str">
        <x:v>26.2 / 4.5.2</x:v>
      </x:c>
      <x:c r="H4" s="10" t="str">
        <x:v>Redot</x:v>
      </x:c>
      <x:c r="I4" s="10" t="str">
        <x:v>MIT</x:v>
      </x:c>
      <x:c r="J4" s="10" t="str">
        <x:v>Dual product/API identity</x:v>
      </x:c>
      <x:c r="K4" s="10" t="str">
        <x:v>M0,M2</x:v>
      </x:c>
      <x:c r="L4" s="10" t="str">
        <x:v>Declares product 26.2 and Godot lineage 4.5.2.</x:v>
      </x:c>
      <x:c r="M4" s="10" t="str">
        <x:v>Direct tagged source evidence.</x:v>
      </x:c>
      <x:c r="N4" s="10" t="str">
        <x:v>Store both fields; do not compare plugin target to 26.2.</x:v>
      </x:c>
      <x:c r="O4" s="10" t="str"/>
      <x:c r="P4" s="10" t="str">
        <x:v>Adopt</x:v>
      </x:c>
      <x:c r="Q4" s="10" t="str">
        <x:v>High</x:v>
      </x:c>
    </x:row>
    <x:row r="5" ht="58" customHeight="1">
      <x:c r="A5" s="11" t="str">
        <x:v>SRC-004</x:v>
      </x:c>
      <x:c r="B5" s="11" t="str">
        <x:v>redot-cpp</x:v>
      </x:c>
      <x:c r="C5" s="25" t="str">
        <x:v>https://github.com/Redot-Engine/redot-cpp</x:v>
      </x:c>
      <x:c r="D5" s="11" t="str">
        <x:v>Repository</x:v>
      </x:c>
      <x:c r="E5" s="11" t="str">
        <x:v>Redot Engine</x:v>
      </x:c>
      <x:c r="F5" s="26" t="str">
        <x:v>2026-08-10</x:v>
      </x:c>
      <x:c r="G5" s="11" t="str">
        <x:v>redot-26.2-stable</x:v>
      </x:c>
      <x:c r="H5" s="11" t="str">
        <x:v>C++ GDExtension</x:v>
      </x:c>
      <x:c r="I5" s="11" t="str">
        <x:v>MIT</x:v>
      </x:c>
      <x:c r="J5" s="11" t="str">
        <x:v>Exact Redot C++ binding source and versioning guidance</x:v>
      </x:c>
      <x:c r="K5" s="11" t="str">
        <x:v>M2,M10</x:v>
      </x:c>
      <x:c r="L5" s="11" t="str">
        <x:v>Repository recommends the exact stable tag; 26.2 tag resolves to 598ec78e86b2c240a023f6de13daba70f7de8610.</x:v>
      </x:c>
      <x:c r="M5" s="11" t="str">
        <x:v>Exact target material exists.</x:v>
      </x:c>
      <x:c r="N5" s="11" t="str">
        <x:v>Never use master for a stable rebuild.</x:v>
      </x:c>
      <x:c r="O5" s="11" t="str"/>
      <x:c r="P5" s="11" t="str">
        <x:v>Adopt</x:v>
      </x:c>
      <x:c r="Q5" s="11" t="str">
        <x:v>High</x:v>
      </x:c>
    </x:row>
    <x:row r="6" ht="58" customHeight="1">
      <x:c r="A6" s="10" t="str">
        <x:v>SRC-005</x:v>
      </x:c>
      <x:c r="B6" s="10" t="str">
        <x:v>Redot 26.2 extension API JSON</x:v>
      </x:c>
      <x:c r="C6" s="24" t="str">
        <x:v>https://raw.githubusercontent.com/Redot-Engine/redot-cpp/redot-26.2-stable/gdextension/extension_api.json</x:v>
      </x:c>
      <x:c r="D6" s="10" t="str">
        <x:v>API snapshot</x:v>
      </x:c>
      <x:c r="E6" s="10" t="str">
        <x:v>Redot Engine</x:v>
      </x:c>
      <x:c r="F6" s="27" t="str">
        <x:v>2026-08-10</x:v>
      </x:c>
      <x:c r="G6" s="10" t="str">
        <x:v>Godot API 4.5.2</x:v>
      </x:c>
      <x:c r="H6" s="10" t="str">
        <x:v>GDExtension JSON</x:v>
      </x:c>
      <x:c r="I6" s="10" t="str">
        <x:v>MIT</x:v>
      </x:c>
      <x:c r="J6" s="10" t="str">
        <x:v>API indexing, schema fixtures, Rust custom JSON experiment</x:v>
      </x:c>
      <x:c r="K6" s="10" t="str">
        <x:v>M2,M7,M10</x:v>
      </x:c>
      <x:c r="L6" s="10" t="str">
        <x:v>Tagged snapshot with 993 engine classes and required harness methods.</x:v>
      </x:c>
      <x:c r="M6" s="10" t="str">
        <x:v>Body matches workspace cache in every compared section.</x:v>
      </x:c>
      <x:c r="N6" s="10" t="str">
        <x:v>Does not prove local dump reproducibility.</x:v>
      </x:c>
      <x:c r="O6" s="10" t="str">
        <x:v>docs/gamedev/references/redot-26.2-extension-api.json</x:v>
      </x:c>
      <x:c r="P6" s="10" t="str">
        <x:v>Adopt</x:v>
      </x:c>
      <x:c r="Q6" s="10" t="str">
        <x:v>High</x:v>
      </x:c>
    </x:row>
    <x:row r="7" ht="58" customHeight="1">
      <x:c r="A7" s="11" t="str">
        <x:v>SRC-006</x:v>
      </x:c>
      <x:c r="B7" s="11" t="str">
        <x:v>Configured Redot 26.2 engine evidence</x:v>
      </x:c>
      <x:c r="C7" s="25" t="str">
        <x:v>Local configured engine</x:v>
      </x:c>
      <x:c r="D7" s="11" t="str">
        <x:v>Local evidence</x:v>
      </x:c>
      <x:c r="E7" s="11" t="str">
        <x:v>Redot Engine / preflight</x:v>
      </x:c>
      <x:c r="F7" s="26" t="str">
        <x:v>2026-08-10</x:v>
      </x:c>
      <x:c r="G7" s="11" t="str">
        <x:v>26.2 / 4.5.2</x:v>
      </x:c>
      <x:c r="H7" s="11" t="str">
        <x:v>Windows Redot</x:v>
      </x:c>
      <x:c r="I7" s="11" t="str">
        <x:v>Local hashes; upstream MIT</x:v>
      </x:c>
      <x:c r="J7" s="11" t="str">
        <x:v>Installed identity, hashes, flags, and dump diagnostics</x:v>
      </x:c>
      <x:c r="K7" s="11" t="str">
        <x:v>M2</x:v>
      </x:c>
      <x:c r="L7" s="11" t="str">
        <x:v>The original configured editor crashed during fresh dumps; a later digest-verified clean archive produced two identical snapshots and closed G-02.</x:v>
      </x:c>
      <x:c r="M7" s="11" t="str">
        <x:v>Historical failure retained; the verified clean extraction is the current local authority.</x:v>
      </x:c>
      <x:c r="N7" s="11" t="str">
        <x:v>Reject the former installation as provenance evidence and use the identities in gate-closure-evidence.md.</x:v>
      </x:c>
      <x:c r="O7" s="11" t="str">
        <x:v>docs/gamedev/references/redot-26.2-engine-evidence.md</x:v>
      </x:c>
      <x:c r="P7" s="15" t="str">
        <x:v>Adapt</x:v>
      </x:c>
      <x:c r="Q7" s="11" t="str">
        <x:v>High</x:v>
      </x:c>
    </x:row>
    <x:row r="8" ht="58" customHeight="1">
      <x:c r="A8" s="10" t="str">
        <x:v>SRC-007</x:v>
      </x:c>
      <x:c r="B8" s="10" t="str">
        <x:v>Redot command line tutorial</x:v>
      </x:c>
      <x:c r="C8" s="24" t="str">
        <x:v>https://docs.redotengine.org/tutorials/editor/command_line_tutorial</x:v>
      </x:c>
      <x:c r="D8" s="10" t="str">
        <x:v>Documentation</x:v>
      </x:c>
      <x:c r="E8" s="10" t="str">
        <x:v>Redot Engine</x:v>
      </x:c>
      <x:c r="F8" s="27" t="str">
        <x:v>2026-08-10</x:v>
      </x:c>
      <x:c r="G8" s="10" t="str">
        <x:v>Docs UI 26.1</x:v>
      </x:c>
      <x:c r="H8" s="10" t="str">
        <x:v>Redot CLI</x:v>
      </x:c>
      <x:c r="I8" s="10" t="str">
        <x:v>Link only; not redistributed</x:v>
      </x:c>
      <x:c r="J8" s="10" t="str">
        <x:v>Command design reference</x:v>
      </x:c>
      <x:c r="K8" s="10" t="str">
        <x:v>M2-M5</x:v>
      </x:c>
      <x:c r="L8" s="10" t="str">
        <x:v>Documents headless, import, API dump, validation, and export commands.</x:v>
      </x:c>
      <x:c r="M8" s="10" t="str">
        <x:v>Docs lag target; installed 26.2 help is authoritative.</x:v>
      </x:c>
      <x:c r="N8" s="10" t="str">
        <x:v>Use as design reference only.</x:v>
      </x:c>
      <x:c r="O8" s="10" t="str"/>
      <x:c r="P8" s="15" t="str">
        <x:v>Adapt</x:v>
      </x:c>
      <x:c r="Q8" s="10" t="str">
        <x:v>Medium</x:v>
      </x:c>
    </x:row>
    <x:row r="9" ht="58" customHeight="1">
      <x:c r="A9" s="11" t="str">
        <x:v>SRC-008</x:v>
      </x:c>
      <x:c r="B9" s="11" t="str">
        <x:v>The .gdextension file</x:v>
      </x:c>
      <x:c r="C9" s="25" t="str">
        <x:v>https://docs.redotengine.org/tutorials/scripting/gdextension/gdextension_file</x:v>
      </x:c>
      <x:c r="D9" s="11" t="str">
        <x:v>Documentation</x:v>
      </x:c>
      <x:c r="E9" s="11" t="str">
        <x:v>Redot Engine</x:v>
      </x:c>
      <x:c r="F9" s="26" t="str">
        <x:v>2026-08-10</x:v>
      </x:c>
      <x:c r="G9" s="11" t="str">
        <x:v>Docs UI 26.1</x:v>
      </x:c>
      <x:c r="H9" s="11" t="str">
        <x:v>.gdextension</x:v>
      </x:c>
      <x:c r="I9" s="11" t="str">
        <x:v>Link only; not redistributed</x:v>
      </x:c>
      <x:c r="J9" s="11" t="str">
        <x:v>Native manifest parsing and selectors</x:v>
      </x:c>
      <x:c r="K9" s="11" t="str">
        <x:v>M1,M9</x:v>
      </x:c>
      <x:c r="L9" s="11" t="str">
        <x:v>Defines entry symbol, compatibility bounds, libraries, dependencies, and selector order.</x:v>
      </x:c>
      <x:c r="M9" s="11" t="str">
        <x:v>Relevant to Redot; target docs lag one release.</x:v>
      </x:c>
      <x:c r="N9" s="11" t="str">
        <x:v>Verify actual fields against tagged API/build fixtures.</x:v>
      </x:c>
      <x:c r="O9" s="11" t="str"/>
      <x:c r="P9" s="11" t="str">
        <x:v>Adopt</x:v>
      </x:c>
      <x:c r="Q9" s="11" t="str">
        <x:v>High</x:v>
      </x:c>
    </x:row>
    <x:row r="10" ht="58" customHeight="1">
      <x:c r="A10" s="10" t="str">
        <x:v>SRC-009</x:v>
      </x:c>
      <x:c r="B10" s="10" t="str">
        <x:v>Redot GDExtension C++ example</x:v>
      </x:c>
      <x:c r="C10" s="24" t="str">
        <x:v>https://docs.redotengine.org/tutorials/scripting/gdextension/gdextension_cpp_example</x:v>
      </x:c>
      <x:c r="D10" s="10" t="str">
        <x:v>Documentation</x:v>
      </x:c>
      <x:c r="E10" s="10" t="str">
        <x:v>Redot Engine</x:v>
      </x:c>
      <x:c r="F10" s="27" t="str">
        <x:v>2026-08-10</x:v>
      </x:c>
      <x:c r="G10" s="10" t="str">
        <x:v>Docs UI 26.1</x:v>
      </x:c>
      <x:c r="H10" s="10" t="str">
        <x:v>C++</x:v>
      </x:c>
      <x:c r="I10" s="10" t="str">
        <x:v>Link only; not redistributed</x:v>
      </x:c>
      <x:c r="J10" s="10" t="str">
        <x:v>Binding build and custom API guidance</x:v>
      </x:c>
      <x:c r="K10" s="10" t="str">
        <x:v>M2,M10</x:v>
      </x:c>
      <x:c r="L10" s="10" t="str">
        <x:v>Advises matching bindings and generated API input; notes compatibility caveats.</x:v>
      </x:c>
      <x:c r="M10" s="10" t="str">
        <x:v>Useful design reference; exact tag data remains stronger.</x:v>
      </x:c>
      <x:c r="N10" s="10" t="str">
        <x:v>Use exact redot-cpp tag and API hash.</x:v>
      </x:c>
      <x:c r="O10" s="10" t="str"/>
      <x:c r="P10" s="15" t="str">
        <x:v>Adapt</x:v>
      </x:c>
      <x:c r="Q10" s="10" t="str">
        <x:v>High</x:v>
      </x:c>
    </x:row>
    <x:row r="11" ht="58" customHeight="1">
      <x:c r="A11" s="11" t="str">
        <x:v>SRC-010</x:v>
      </x:c>
      <x:c r="B11" s="11" t="str">
        <x:v>Installing editor plugins</x:v>
      </x:c>
      <x:c r="C11" s="25" t="str">
        <x:v>https://docs.godotengine.org/en/4.5/tutorials/plugins/editor/installing_plugins.html</x:v>
      </x:c>
      <x:c r="D11" s="11" t="str">
        <x:v>Documentation</x:v>
      </x:c>
      <x:c r="E11" s="11" t="str">
        <x:v>Godot Engine</x:v>
      </x:c>
      <x:c r="F11" s="26" t="str">
        <x:v>2026-08-10</x:v>
      </x:c>
      <x:c r="G11" s="11" t="str">
        <x:v>Godot 4.5</x:v>
      </x:c>
      <x:c r="H11" s="11" t="str">
        <x:v>EditorPlugin</x:v>
      </x:c>
      <x:c r="I11" s="11" t="str">
        <x:v>CC BY 3.0 documentation; link only</x:v>
      </x:c>
      <x:c r="J11" s="11" t="str">
        <x:v>Plugin root/layout and enable model</x:v>
      </x:c>
      <x:c r="K11" s="11" t="str">
        <x:v>M1,M5</x:v>
      </x:c>
      <x:c r="L11" s="11" t="str">
        <x:v>Standard editor plugins live at addons/&lt;name&gt;/plugin.cfg and are enabled in settings.</x:v>
      </x:c>
      <x:c r="M11" s="11" t="str">
        <x:v>Godot lineage reference; confirm behavior in Redot fixtures.</x:v>
      </x:c>
      <x:c r="N11" s="11" t="str">
        <x:v>Use for layout rules, not runtime proof.</x:v>
      </x:c>
      <x:c r="O11" s="11" t="str"/>
      <x:c r="P11" s="11" t="str">
        <x:v>Adopt</x:v>
      </x:c>
      <x:c r="Q11" s="11" t="str">
        <x:v>High</x:v>
      </x:c>
    </x:row>
    <x:row r="12" ht="58" customHeight="1">
      <x:c r="A12" s="10" t="str">
        <x:v>SRC-011</x:v>
      </x:c>
      <x:c r="B12" s="10" t="str">
        <x:v>EditorInterface 4.5</x:v>
      </x:c>
      <x:c r="C12" s="24" t="str">
        <x:v>https://docs.godotengine.org/en/4.5/classes/class_editorinterface.html</x:v>
      </x:c>
      <x:c r="D12" s="10" t="str">
        <x:v>API documentation</x:v>
      </x:c>
      <x:c r="E12" s="10" t="str">
        <x:v>Godot Engine</x:v>
      </x:c>
      <x:c r="F12" s="27" t="str">
        <x:v>2026-08-10</x:v>
      </x:c>
      <x:c r="G12" s="10" t="str">
        <x:v>Godot 4.5</x:v>
      </x:c>
      <x:c r="H12" s="10" t="str">
        <x:v>EditorInterface</x:v>
      </x:c>
      <x:c r="I12" s="10" t="str">
        <x:v>CC BY 3.0 documentation; link only</x:v>
      </x:c>
      <x:c r="J12" s="10" t="str">
        <x:v>Harness activation API</x:v>
      </x:c>
      <x:c r="K12" s="10" t="str">
        <x:v>M5</x:v>
      </x:c>
      <x:c r="L12" s="10" t="str">
        <x:v>Documents set_plugin_enabled and is_plugin_enabled using the plugin directory name.</x:v>
      </x:c>
      <x:c r="M12" s="10" t="str">
        <x:v>Methods also present in tagged Redot 26.2 API.</x:v>
      </x:c>
      <x:c r="N12" s="10" t="str">
        <x:v>Exercise with trusted activation fixtures.</x:v>
      </x:c>
      <x:c r="O12" s="10" t="str"/>
      <x:c r="P12" s="10" t="str">
        <x:v>Adopt</x:v>
      </x:c>
      <x:c r="Q12" s="10" t="str">
        <x:v>High</x:v>
      </x:c>
    </x:row>
    <x:row r="13" ht="58" customHeight="1">
      <x:c r="A13" s="11" t="str">
        <x:v>SRC-012</x:v>
      </x:c>
      <x:c r="B13" s="11" t="str">
        <x:v>godot-cpp 4.5</x:v>
      </x:c>
      <x:c r="C13" s="25" t="str">
        <x:v>https://github.com/godotengine/godot-cpp/tree/4.5</x:v>
      </x:c>
      <x:c r="D13" s="11" t="str">
        <x:v>Repository</x:v>
      </x:c>
      <x:c r="E13" s="11" t="str">
        <x:v>Godot Engine</x:v>
      </x:c>
      <x:c r="F13" s="26" t="str">
        <x:v>2026-08-10</x:v>
      </x:c>
      <x:c r="G13" s="11" t="str">
        <x:v>Godot 4.5</x:v>
      </x:c>
      <x:c r="H13" s="11" t="str">
        <x:v>C++ GDExtension</x:v>
      </x:c>
      <x:c r="I13" s="11" t="str">
        <x:v>MIT</x:v>
      </x:c>
      <x:c r="J13" s="11" t="str">
        <x:v>Upstream native binding evidence and control reference</x:v>
      </x:c>
      <x:c r="K13" s="11" t="str">
        <x:v>M1,M7,M10</x:v>
      </x:c>
      <x:c r="L13" s="11" t="str">
        <x:v>Godot C++ binding source for 4.5; stable JSON reports 4.5.0.</x:v>
      </x:c>
      <x:c r="M13" s="11" t="str">
        <x:v>Not an exact 4.5.2 control.</x:v>
      </x:c>
      <x:c r="N13" s="11" t="str">
        <x:v>Resolve exact commit and generate API from configured control engine.</x:v>
      </x:c>
      <x:c r="O13" s="11" t="str"/>
      <x:c r="P13" s="15" t="str">
        <x:v>Adapt</x:v>
      </x:c>
      <x:c r="Q13" s="11" t="str">
        <x:v>High</x:v>
      </x:c>
    </x:row>
    <x:row r="14" ht="58" customHeight="1">
      <x:c r="A14" s="10" t="str">
        <x:v>SRC-013</x:v>
      </x:c>
      <x:c r="B14" s="10" t="str">
        <x:v>Godot 4.5 stable extension API JSON</x:v>
      </x:c>
      <x:c r="C14" s="24" t="str">
        <x:v>https://raw.githubusercontent.com/godotengine/godot-cpp/godot-4.5-stable/gdextension/extension_api.json</x:v>
      </x:c>
      <x:c r="D14" s="10" t="str">
        <x:v>API snapshot</x:v>
      </x:c>
      <x:c r="E14" s="10" t="str">
        <x:v>Godot Engine</x:v>
      </x:c>
      <x:c r="F14" s="27" t="str">
        <x:v>2026-08-10</x:v>
      </x:c>
      <x:c r="G14" s="10" t="str">
        <x:v>Godot 4.5.0</x:v>
      </x:c>
      <x:c r="H14" s="10" t="str">
        <x:v>GDExtension JSON</x:v>
      </x:c>
      <x:c r="I14" s="10" t="str">
        <x:v>MIT</x:v>
      </x:c>
      <x:c r="J14" s="10" t="str">
        <x:v>Reference-only API fixture</x:v>
      </x:c>
      <x:c r="K14" s="10" t="str">
        <x:v>M2,M7</x:v>
      </x:c>
      <x:c r="L14" s="10" t="str">
        <x:v>Official stable snapshot with header 4.5.0.</x:v>
      </x:c>
      <x:c r="M14" s="10" t="str">
        <x:v>Useful reference but below exact 4.5.2 baseline.</x:v>
      </x:c>
      <x:c r="N14" s="10" t="str">
        <x:v>Never silently substitute for a 4.5.2 control.</x:v>
      </x:c>
      <x:c r="O14" s="10" t="str">
        <x:v>docs/gamedev/references/godot-4.5-extension-api.json</x:v>
      </x:c>
      <x:c r="P14" s="15" t="str">
        <x:v>Adapt</x:v>
      </x:c>
      <x:c r="Q14" s="10" t="str">
        <x:v>High</x:v>
      </x:c>
    </x:row>
    <x:row r="15" ht="58" customHeight="1">
      <x:c r="A15" s="11" t="str">
        <x:v>SRC-014</x:v>
      </x:c>
      <x:c r="B15" s="11" t="str">
        <x:v>godot-rust gdext</x:v>
      </x:c>
      <x:c r="C15" s="25" t="str">
        <x:v>https://github.com/godot-rust/gdext</x:v>
      </x:c>
      <x:c r="D15" s="11" t="str">
        <x:v>Repository</x:v>
      </x:c>
      <x:c r="E15" s="11" t="str">
        <x:v>godot-rust contributors</x:v>
      </x:c>
      <x:c r="F15" s="26" t="str">
        <x:v>2026-08-10</x:v>
      </x:c>
      <x:c r="G15" s="11" t="str">
        <x:v>Godot 4.2-4.7</x:v>
      </x:c>
      <x:c r="H15" s="11" t="str">
        <x:v>Rust GDExtension</x:v>
      </x:c>
      <x:c r="I15" s="11" t="str">
        <x:v>MPL-2.0</x:v>
      </x:c>
      <x:c r="J15" s="11" t="str">
        <x:v>Rust source/binding version evidence</x:v>
      </x:c>
      <x:c r="K15" s="11" t="str">
        <x:v>M1,M10</x:v>
      </x:c>
      <x:c r="L15" s="11" t="str">
        <x:v>Maintained Rust bindings; current crate exposes api-4-5 and custom API features.</x:v>
      </x:c>
      <x:c r="M15" s="11" t="str">
        <x:v>No Redot-specific guarantee.</x:v>
      </x:c>
      <x:c r="N15" s="11" t="str">
        <x:v>Honor MPL obligations if modifying the binding itself.</x:v>
      </x:c>
      <x:c r="O15" s="11" t="str"/>
      <x:c r="P15" s="15" t="str">
        <x:v>Adapt</x:v>
      </x:c>
      <x:c r="Q15" s="11" t="str">
        <x:v>High</x:v>
      </x:c>
    </x:row>
    <x:row r="16" ht="58" customHeight="1">
      <x:c r="A16" s="10" t="str">
        <x:v>SRC-015</x:v>
      </x:c>
      <x:c r="B16" s="10" t="str">
        <x:v>godot-rust version selection</x:v>
      </x:c>
      <x:c r="C16" s="24" t="str">
        <x:v>https://godot-rust.github.io/book/toolchain/godot-version.html</x:v>
      </x:c>
      <x:c r="D16" s="10" t="str">
        <x:v>Documentation</x:v>
      </x:c>
      <x:c r="E16" s="10" t="str">
        <x:v>godot-rust contributors</x:v>
      </x:c>
      <x:c r="F16" s="27" t="str">
        <x:v>2026-08-10</x:v>
      </x:c>
      <x:c r="G16" s="10" t="str">
        <x:v>Godot 4.x</x:v>
      </x:c>
      <x:c r="H16" s="10" t="str">
        <x:v>Rust / api-custom-json</x:v>
      </x:c>
      <x:c r="I16" s="10" t="str">
        <x:v>Link only; upstream MPL-2.0</x:v>
      </x:c>
      <x:c r="J16" s="10" t="str">
        <x:v>Concrete Redot API adaptation hypothesis</x:v>
      </x:c>
      <x:c r="K16" s="10" t="str">
        <x:v>M10</x:v>
      </x:c>
      <x:c r="L16" s="10" t="str">
        <x:v>Documents custom engine/API selection; current API docs expose GDRUST_GODOT_API_JSON.</x:v>
      </x:c>
      <x:c r="M16" s="10" t="str">
        <x:v>Custom APIs carry no upstream compatibility guarantee.</x:v>
      </x:c>
      <x:c r="N16" s="10" t="str">
        <x:v>Validate a tiny trusted extension against the bundled Redot JSON.</x:v>
      </x:c>
      <x:c r="O16" s="10" t="str"/>
      <x:c r="P16" s="15" t="str">
        <x:v>Adapt</x:v>
      </x:c>
      <x:c r="Q16" s="10" t="str">
        <x:v>High</x:v>
      </x:c>
    </x:row>
    <x:row r="17" ht="58" customHeight="1">
      <x:c r="A17" s="11" t="str">
        <x:v>SRC-016</x:v>
      </x:c>
      <x:c r="B17" s="11" t="str">
        <x:v>Godot.NET.Sdk 4.5.0</x:v>
      </x:c>
      <x:c r="C17" s="25" t="str">
        <x:v>https://www.nuget.org/packages/Godot.NET.Sdk/4.5.0</x:v>
      </x:c>
      <x:c r="D17" s="11" t="str">
        <x:v>Package registry</x:v>
      </x:c>
      <x:c r="E17" s="11" t="str">
        <x:v>Godot Engine</x:v>
      </x:c>
      <x:c r="F17" s="26" t="str">
        <x:v>2026-08-10</x:v>
      </x:c>
      <x:c r="G17" s="11" t="str">
        <x:v>Godot 4.5.0</x:v>
      </x:c>
      <x:c r="H17" s="11" t="str">
        <x:v>.NET SDK</x:v>
      </x:c>
      <x:c r="I17" s="11" t="str">
        <x:v>MIT</x:v>
      </x:c>
      <x:c r="J17" s="11" t="str">
        <x:v>.NET target evidence</x:v>
      </x:c>
      <x:c r="K17" s="11" t="str">
        <x:v>M1,M9,M10</x:v>
      </x:c>
      <x:c r="L17" s="11" t="str">
        <x:v>Official NuGet package and version signal.</x:v>
      </x:c>
      <x:c r="M17" s="11" t="str">
        <x:v>A project SDK version does not prove a local Redot Mono runtime.</x:v>
      </x:c>
      <x:c r="N17" s="11" t="str">
        <x:v>Doctor a distinct Redot Mono executable.</x:v>
      </x:c>
      <x:c r="O17" s="11" t="str"/>
      <x:c r="P17" s="11" t="str">
        <x:v>Adopt</x:v>
      </x:c>
      <x:c r="Q17" s="11" t="str">
        <x:v>High</x:v>
      </x:c>
    </x:row>
    <x:row r="18" ht="58" customHeight="1">
      <x:c r="A18" s="10" t="str">
        <x:v>SRC-017</x:v>
      </x:c>
      <x:c r="B18" s="10" t="str">
        <x:v>Git refs REST API</x:v>
      </x:c>
      <x:c r="C18" s="24" t="str">
        <x:v>https://docs.github.com/en/rest/git/refs</x:v>
      </x:c>
      <x:c r="D18" s="10" t="str">
        <x:v>API documentation</x:v>
      </x:c>
      <x:c r="E18" s="10" t="str">
        <x:v>GitHub</x:v>
      </x:c>
      <x:c r="F18" s="27" t="str">
        <x:v>2026-08-10</x:v>
      </x:c>
      <x:c r="G18" s="10" t="str">
        <x:v>N/A</x:v>
      </x:c>
      <x:c r="H18" s="10" t="str">
        <x:v>GitHub REST</x:v>
      </x:c>
      <x:c r="I18" s="10" t="str">
        <x:v>Documentation; link only</x:v>
      </x:c>
      <x:c r="J18" s="10" t="str">
        <x:v>Resolve tags/branches before acquisition</x:v>
      </x:c>
      <x:c r="K18" s="10" t="str">
        <x:v>M1,M8</x:v>
      </x:c>
      <x:c r="L18" s="10" t="str">
        <x:v>Provides ref lookup needed to record a full commit.</x:v>
      </x:c>
      <x:c r="M18" s="10" t="str">
        <x:v>Provider contract; current API must be fixture-tested.</x:v>
      </x:c>
      <x:c r="N18" s="10" t="str">
        <x:v>Record object type and dereference annotated tags.</x:v>
      </x:c>
      <x:c r="O18" s="10" t="str"/>
      <x:c r="P18" s="10" t="str">
        <x:v>Adopt</x:v>
      </x:c>
      <x:c r="Q18" s="10" t="str">
        <x:v>High</x:v>
      </x:c>
    </x:row>
    <x:row r="19" ht="58" customHeight="1">
      <x:c r="A19" s="11" t="str">
        <x:v>SRC-018</x:v>
      </x:c>
      <x:c r="B19" s="11" t="str">
        <x:v>GitHub repository archive endpoints</x:v>
      </x:c>
      <x:c r="C19" s="25" t="str">
        <x:v>https://docs.github.com/en/rest/repos/contents</x:v>
      </x:c>
      <x:c r="D19" s="11" t="str">
        <x:v>API documentation</x:v>
      </x:c>
      <x:c r="E19" s="11" t="str">
        <x:v>GitHub</x:v>
      </x:c>
      <x:c r="F19" s="26" t="str">
        <x:v>2026-08-10</x:v>
      </x:c>
      <x:c r="G19" s="11" t="str">
        <x:v>N/A</x:v>
      </x:c>
      <x:c r="H19" s="11" t="str">
        <x:v>GitHub REST</x:v>
      </x:c>
      <x:c r="I19" s="11" t="str">
        <x:v>Documentation; link only</x:v>
      </x:c>
      <x:c r="J19" s="11" t="str">
        <x:v>Fixed-ref ZIP/TAR acquisition</x:v>
      </x:c>
      <x:c r="K19" s="11" t="str">
        <x:v>M1,M8</x:v>
      </x:c>
      <x:c r="L19" s="11" t="str">
        <x:v>Documents zipball/tarball redirects for repository refs.</x:v>
      </x:c>
      <x:c r="M19" s="11" t="str">
        <x:v>Use only after resolving a full commit.</x:v>
      </x:c>
      <x:c r="N19" s="11" t="str">
        <x:v>Record redirects and hash received bytes.</x:v>
      </x:c>
      <x:c r="O19" s="11" t="str"/>
      <x:c r="P19" s="11" t="str">
        <x:v>Adopt</x:v>
      </x:c>
      <x:c r="Q19" s="11" t="str">
        <x:v>High</x:v>
      </x:c>
    </x:row>
    <x:row r="20" ht="58" customHeight="1">
      <x:c r="A20" s="10" t="str">
        <x:v>SRC-019</x:v>
      </x:c>
      <x:c r="B20" s="10" t="str">
        <x:v>GitHub release assets REST API</x:v>
      </x:c>
      <x:c r="C20" s="24" t="str">
        <x:v>https://docs.github.com/en/rest/releases/assets</x:v>
      </x:c>
      <x:c r="D20" s="10" t="str">
        <x:v>API documentation</x:v>
      </x:c>
      <x:c r="E20" s="10" t="str">
        <x:v>GitHub</x:v>
      </x:c>
      <x:c r="F20" s="27" t="str">
        <x:v>2026-08-10</x:v>
      </x:c>
      <x:c r="G20" s="10" t="str">
        <x:v>N/A</x:v>
      </x:c>
      <x:c r="H20" s="10" t="str">
        <x:v>GitHub REST</x:v>
      </x:c>
      <x:c r="I20" s="10" t="str">
        <x:v>Documentation; link only</x:v>
      </x:c>
      <x:c r="J20" s="10" t="str">
        <x:v>Release-asset metadata and download</x:v>
      </x:c>
      <x:c r="K20" s="10" t="str">
        <x:v>M1,M8</x:v>
      </x:c>
      <x:c r="L20" s="10" t="str">
        <x:v>Asset records may include SHA-256 digest, size, timestamps, and download responses.</x:v>
      </x:c>
      <x:c r="M20" s="10" t="str">
        <x:v>Digest availability varies.</x:v>
      </x:c>
      <x:c r="N20" s="10" t="str">
        <x:v>Verify published digest when present and always hash locally.</x:v>
      </x:c>
      <x:c r="O20" s="10" t="str"/>
      <x:c r="P20" s="10" t="str">
        <x:v>Adopt</x:v>
      </x:c>
      <x:c r="Q20" s="10" t="str">
        <x:v>High</x:v>
      </x:c>
    </x:row>
    <x:row r="21" ht="58" customHeight="1">
      <x:c r="A21" s="11" t="str">
        <x:v>SRC-020</x:v>
      </x:c>
      <x:c r="B21" s="11" t="str">
        <x:v>Codeberg tags and releases</x:v>
      </x:c>
      <x:c r="C21" s="25" t="str">
        <x:v>https://docs.codeberg.org/git/using-tags/</x:v>
      </x:c>
      <x:c r="D21" s="11" t="str">
        <x:v>Documentation</x:v>
      </x:c>
      <x:c r="E21" s="11" t="str">
        <x:v>Codeberg</x:v>
      </x:c>
      <x:c r="F21" s="26" t="str">
        <x:v>2026-08-10</x:v>
      </x:c>
      <x:c r="G21" s="11" t="str">
        <x:v>Current</x:v>
      </x:c>
      <x:c r="H21" s="11" t="str">
        <x:v>Codeberg / Forgejo</x:v>
      </x:c>
      <x:c r="I21" s="11" t="str">
        <x:v>Documentation; link only</x:v>
      </x:c>
      <x:c r="J21" s="11" t="str">
        <x:v>Tag, release, attachment, and archive semantics</x:v>
      </x:c>
      <x:c r="K21" s="11" t="str">
        <x:v>M1,M8</x:v>
      </x:c>
      <x:c r="L21" s="11" t="str">
        <x:v>Release attachments are distinct from generated source archives.</x:v>
      </x:c>
      <x:c r="M21" s="11" t="str">
        <x:v>Instance behavior may evolve.</x:v>
      </x:c>
      <x:c r="N21" s="11" t="str">
        <x:v>Record the selected artifact kind explicitly.</x:v>
      </x:c>
      <x:c r="O21" s="11" t="str"/>
      <x:c r="P21" s="11" t="str">
        <x:v>Adopt</x:v>
      </x:c>
      <x:c r="Q21" s="11" t="str">
        <x:v>High</x:v>
      </x:c>
    </x:row>
    <x:row r="22" ht="58" customHeight="1">
      <x:c r="A22" s="10" t="str">
        <x:v>SRC-021</x:v>
      </x:c>
      <x:c r="B22" s="10" t="str">
        <x:v>Forgejo API usage</x:v>
      </x:c>
      <x:c r="C22" s="24" t="str">
        <x:v>https://forgejo.org/docs/latest/user/api/usage/</x:v>
      </x:c>
      <x:c r="D22" s="10" t="str">
        <x:v>API documentation</x:v>
      </x:c>
      <x:c r="E22" s="10" t="str">
        <x:v>Forgejo</x:v>
      </x:c>
      <x:c r="F22" s="27" t="str">
        <x:v>2026-08-10</x:v>
      </x:c>
      <x:c r="G22" s="10" t="str">
        <x:v>Current</x:v>
      </x:c>
      <x:c r="H22" s="10" t="str">
        <x:v>Forgejo REST</x:v>
      </x:c>
      <x:c r="I22" s="10" t="str">
        <x:v>Documentation; link only</x:v>
      </x:c>
      <x:c r="J22" s="10" t="str">
        <x:v>Codeberg capability/version probing</x:v>
      </x:c>
      <x:c r="K22" s="10" t="str">
        <x:v>M1,M8</x:v>
      </x:c>
      <x:c r="L22" s="10" t="str">
        <x:v>API can change across major versions; instances expose OpenAPI and pagination settings.</x:v>
      </x:c>
      <x:c r="M22" s="10" t="str">
        <x:v>Do not hardcode a Gitea 1.25 contract.</x:v>
      </x:c>
      <x:c r="N22" s="10" t="str">
        <x:v>Probe and retain response/OpenAPI fixtures.</x:v>
      </x:c>
      <x:c r="O22" s="10" t="str"/>
      <x:c r="P22" s="15" t="str">
        <x:v>Adapt</x:v>
      </x:c>
      <x:c r="Q22" s="10" t="str">
        <x:v>High</x:v>
      </x:c>
    </x:row>
    <x:row r="23" ht="58" customHeight="1">
      <x:c r="A23" s="11" t="str">
        <x:v>SRC-022</x:v>
      </x:c>
      <x:c r="B23" s="11" t="str">
        <x:v>Godot Asset Library API</x:v>
      </x:c>
      <x:c r="C23" s="25" t="str">
        <x:v>https://github.com/godotengine/godot-asset-library/blob/master/API.md</x:v>
      </x:c>
      <x:c r="D23" s="11" t="str">
        <x:v>API documentation</x:v>
      </x:c>
      <x:c r="E23" s="11" t="str">
        <x:v>Godot Engine</x:v>
      </x:c>
      <x:c r="F23" s="26" t="str">
        <x:v>2026-08-10</x:v>
      </x:c>
      <x:c r="G23" s="11" t="str">
        <x:v>Legacy Asset Library</x:v>
      </x:c>
      <x:c r="H23" s="11" t="str">
        <x:v>HTTP JSON API</x:v>
      </x:c>
      <x:c r="I23" s="11" t="str">
        <x:v>MIT repository</x:v>
      </x:c>
      <x:c r="J23" s="11" t="str">
        <x:v>Asset metadata acquisition</x:v>
      </x:c>
      <x:c r="K23" s="11" t="str">
        <x:v>M8</x:v>
      </x:c>
      <x:c r="L23" s="11" t="str">
        <x:v>One godot_version field; patch filter disregarded; download_hash always empty.</x:v>
      </x:c>
      <x:c r="M23" s="11" t="str">
        <x:v>Weak for native target detection.</x:v>
      </x:c>
      <x:c r="N23" s="11" t="str">
        <x:v>Hash bytes and treat metadata as corroborating only.</x:v>
      </x:c>
      <x:c r="O23" s="11" t="str"/>
      <x:c r="P23" s="15" t="str">
        <x:v>Adapt</x:v>
      </x:c>
      <x:c r="Q23" s="11" t="str">
        <x:v>High</x:v>
      </x:c>
    </x:row>
    <x:row r="24" ht="58" customHeight="1">
      <x:c r="A24" s="10" t="str">
        <x:v>SRC-023</x:v>
      </x:c>
      <x:c r="B24" s="10" t="str">
        <x:v>Godot Asset Library repository</x:v>
      </x:c>
      <x:c r="C24" s="24" t="str">
        <x:v>https://github.com/godotengine/godot-asset-library</x:v>
      </x:c>
      <x:c r="D24" s="10" t="str">
        <x:v>Repository</x:v>
      </x:c>
      <x:c r="E24" s="10" t="str">
        <x:v>Godot Engine</x:v>
      </x:c>
      <x:c r="F24" s="27" t="str">
        <x:v>2026-08-10</x:v>
      </x:c>
      <x:c r="G24" s="10" t="str">
        <x:v>Legacy Asset Library</x:v>
      </x:c>
      <x:c r="H24" s="10" t="str">
        <x:v>Web/API</x:v>
      </x:c>
      <x:c r="I24" s="10" t="str">
        <x:v>MIT</x:v>
      </x:c>
      <x:c r="J24" s="10" t="str">
        <x:v>Maintenance and implementation context</x:v>
      </x:c>
      <x:c r="K24" s="10" t="str">
        <x:v>M8</x:v>
      </x:c>
      <x:c r="L24" s="10" t="str">
        <x:v>Official service repository is in maintenance mode as the Store develops.</x:v>
      </x:c>
      <x:c r="M24" s="10" t="str">
        <x:v>Legacy API remains usable but should be isolated.</x:v>
      </x:c>
      <x:c r="N24" s="10" t="str">
        <x:v>Keep adapter contract tests and avoid product coupling.</x:v>
      </x:c>
      <x:c r="O24" s="10" t="str"/>
      <x:c r="P24" s="15" t="str">
        <x:v>Adapt</x:v>
      </x:c>
      <x:c r="Q24" s="10" t="str">
        <x:v>High</x:v>
      </x:c>
    </x:row>
    <x:row r="25" ht="58" customHeight="1">
      <x:c r="A25" s="11" t="str">
        <x:v>SRC-024</x:v>
      </x:c>
      <x:c r="B25" s="11" t="str">
        <x:v>What is the Asset Store?</x:v>
      </x:c>
      <x:c r="C25" s="25" t="str">
        <x:v>https://docs.godotengine.org/en/stable/community/asset_store/what_is_asset_store.html</x:v>
      </x:c>
      <x:c r="D25" s="11" t="str">
        <x:v>Documentation</x:v>
      </x:c>
      <x:c r="E25" s="11" t="str">
        <x:v>Godot Engine</x:v>
      </x:c>
      <x:c r="F25" s="26" t="str">
        <x:v>2026-08-10</x:v>
      </x:c>
      <x:c r="G25" s="11" t="str">
        <x:v>Store beta</x:v>
      </x:c>
      <x:c r="H25" s="11" t="str">
        <x:v>Godot Asset Store</x:v>
      </x:c>
      <x:c r="I25" s="11" t="str">
        <x:v>Documentation; link only</x:v>
      </x:c>
      <x:c r="J25" s="11" t="str">
        <x:v>Store scope and public/private boundary</x:v>
      </x:c>
      <x:c r="K25" s="11" t="str">
        <x:v>M8</x:v>
      </x:c>
      <x:c r="L25" s="11" t="str">
        <x:v>Store is beta; implementation is private; legacy library remains online.</x:v>
      </x:c>
      <x:c r="M25" s="11" t="str">
        <x:v>Listings have varied licenses and acquisition paths.</x:v>
      </x:c>
      <x:c r="N25" s="11" t="str">
        <x:v>Metadata-only MVP; require public source/archive and license.</x:v>
      </x:c>
      <x:c r="O25" s="11" t="str"/>
      <x:c r="P25" s="15" t="str">
        <x:v>Adapt</x:v>
      </x:c>
      <x:c r="Q25" s="11" t="str">
        <x:v>High</x:v>
      </x:c>
    </x:row>
    <x:row r="26" ht="58" customHeight="1">
      <x:c r="A26" s="10" t="str">
        <x:v>SRC-025</x:v>
      </x:c>
      <x:c r="B26" s="10" t="str">
        <x:v>Python 3.12 tarfile extraction filters</x:v>
      </x:c>
      <x:c r="C26" s="24" t="str">
        <x:v>https://docs.python.org/3.12/library/tarfile.html#extraction-filters</x:v>
      </x:c>
      <x:c r="D26" s="10" t="str">
        <x:v>Standard library documentation</x:v>
      </x:c>
      <x:c r="E26" s="10" t="str">
        <x:v>Python Software Foundation</x:v>
      </x:c>
      <x:c r="F26" s="27" t="str">
        <x:v>2026-08-10</x:v>
      </x:c>
      <x:c r="G26" s="10" t="str">
        <x:v>Python 3.12</x:v>
      </x:c>
      <x:c r="H26" s="10" t="str">
        <x:v>tarfile</x:v>
      </x:c>
      <x:c r="I26" s="10" t="str">
        <x:v>PSF documentation; link only</x:v>
      </x:c>
      <x:c r="J26" s="10" t="str">
        <x:v>Safe TAR extraction contract</x:v>
      </x:c>
      <x:c r="K26" s="10" t="str">
        <x:v>M1</x:v>
      </x:c>
      <x:c r="L26" s="10" t="str">
        <x:v>Explicit filter=data is required for the safer policy in 3.12; partial extraction can occur on error.</x:v>
      </x:c>
      <x:c r="M26" s="10" t="str">
        <x:v>Applicable to planned Python baseline.</x:v>
      </x:c>
      <x:c r="N26" s="10" t="str">
        <x:v>Combine filter with manual quotas/path validation and cleanup.</x:v>
      </x:c>
      <x:c r="O26" s="10" t="str"/>
      <x:c r="P26" s="10" t="str">
        <x:v>Adopt</x:v>
      </x:c>
      <x:c r="Q26" s="10" t="str">
        <x:v>High</x:v>
      </x:c>
    </x:row>
    <x:row r="27" ht="58" customHeight="1">
      <x:c r="A27" s="11" t="str">
        <x:v>SRC-026</x:v>
      </x:c>
      <x:c r="B27" s="11" t="str">
        <x:v>Python 3.12 zipfile</x:v>
      </x:c>
      <x:c r="C27" s="25" t="str">
        <x:v>https://docs.python.org/3.12/library/zipfile.html</x:v>
      </x:c>
      <x:c r="D27" s="11" t="str">
        <x:v>Standard library documentation</x:v>
      </x:c>
      <x:c r="E27" s="11" t="str">
        <x:v>Python Software Foundation</x:v>
      </x:c>
      <x:c r="F27" s="26" t="str">
        <x:v>2026-08-10</x:v>
      </x:c>
      <x:c r="G27" s="11" t="str">
        <x:v>Python 3.12</x:v>
      </x:c>
      <x:c r="H27" s="11" t="str">
        <x:v>zipfile</x:v>
      </x:c>
      <x:c r="I27" s="11" t="str">
        <x:v>PSF documentation; link only</x:v>
      </x:c>
      <x:c r="J27" s="11" t="str">
        <x:v>Safe ZIP extraction contract</x:v>
      </x:c>
      <x:c r="K27" s="11" t="str">
        <x:v>M1</x:v>
      </x:c>
      <x:c r="L27" s="11" t="str">
        <x:v>extract sanitizes some names; zipfile.Path does not sanitize; callers must inspect untrusted archives.</x:v>
      </x:c>
      <x:c r="M27" s="11" t="str">
        <x:v>Applicable to planned Python baseline.</x:v>
      </x:c>
      <x:c r="N27" s="11" t="str">
        <x:v>No zipfile.Path extraction; validate every destination and external attributes.</x:v>
      </x:c>
      <x:c r="O27" s="11" t="str"/>
      <x:c r="P27" s="11" t="str">
        <x:v>Adopt</x:v>
      </x:c>
      <x:c r="Q27" s="11" t="str">
        <x:v>High</x:v>
      </x:c>
    </x:row>
    <x:row r="28" ht="58" customHeight="1">
      <x:c r="A28" s="10" t="str">
        <x:v>SRC-027</x:v>
      </x:c>
      <x:c r="B28" s="10" t="str">
        <x:v>Docker Engine security</x:v>
      </x:c>
      <x:c r="C28" s="24" t="str">
        <x:v>https://docs.docker.com/engine/security/</x:v>
      </x:c>
      <x:c r="D28" s="10" t="str">
        <x:v>Security documentation</x:v>
      </x:c>
      <x:c r="E28" s="10" t="str">
        <x:v>Docker</x:v>
      </x:c>
      <x:c r="F28" s="27" t="str">
        <x:v>2026-08-10</x:v>
      </x:c>
      <x:c r="G28" s="10" t="str">
        <x:v>Current</x:v>
      </x:c>
      <x:c r="H28" s="10" t="str">
        <x:v>Docker</x:v>
      </x:c>
      <x:c r="I28" s="10" t="str">
        <x:v>Documentation; link only</x:v>
      </x:c>
      <x:c r="J28" s="10" t="str">
        <x:v>Container threat model</x:v>
      </x:c>
      <x:c r="K28" s="10" t="str">
        <x:v>M4</x:v>
      </x:c>
      <x:c r="L28" s="10" t="str">
        <x:v>Daemon access, host mounts, capabilities, user namespaces, and rootless mode affect isolation.</x:v>
      </x:c>
      <x:c r="M28" s="10" t="str">
        <x:v>Relevant to Linux worker; not a universal boundary.</x:v>
      </x:c>
      <x:c r="N28" s="10" t="str">
        <x:v>Document residual risk and prefer rootless/userns.</x:v>
      </x:c>
      <x:c r="O28" s="10" t="str"/>
      <x:c r="P28" s="15" t="str">
        <x:v>Adapt</x:v>
      </x:c>
      <x:c r="Q28" s="10" t="str">
        <x:v>High</x:v>
      </x:c>
    </x:row>
    <x:row r="29" ht="58" customHeight="1">
      <x:c r="A29" s="11" t="str">
        <x:v>SRC-028</x:v>
      </x:c>
      <x:c r="B29" s="11" t="str">
        <x:v>Docker run reference</x:v>
      </x:c>
      <x:c r="C29" s="25" t="str">
        <x:v>https://docs.docker.com/engine/containers/run/</x:v>
      </x:c>
      <x:c r="D29" s="11" t="str">
        <x:v>Documentation</x:v>
      </x:c>
      <x:c r="E29" s="11" t="str">
        <x:v>Docker</x:v>
      </x:c>
      <x:c r="F29" s="26" t="str">
        <x:v>2026-08-10</x:v>
      </x:c>
      <x:c r="G29" s="11" t="str">
        <x:v>Current</x:v>
      </x:c>
      <x:c r="H29" s="11" t="str">
        <x:v>Docker CLI</x:v>
      </x:c>
      <x:c r="I29" s="11" t="str">
        <x:v>Documentation; link only</x:v>
      </x:c>
      <x:c r="J29" s="11" t="str">
        <x:v>Network, mount, resource, user, and digest controls</x:v>
      </x:c>
      <x:c r="K29" s="11" t="str">
        <x:v>M4</x:v>
      </x:c>
      <x:c r="L29" s="11" t="str">
        <x:v>Network and writable mounts are permissive by default; resources and user identity must be explicit.</x:v>
      </x:c>
      <x:c r="M29" s="11" t="str">
        <x:v>Fits planned worker restrictions.</x:v>
      </x:c>
      <x:c r="N29" s="11" t="str">
        <x:v>Pin image digest; bound scratch/output; set non-root user.</x:v>
      </x:c>
      <x:c r="O29" s="11" t="str"/>
      <x:c r="P29" s="11" t="str">
        <x:v>Adopt</x:v>
      </x:c>
      <x:c r="Q29" s="11" t="str">
        <x:v>High</x:v>
      </x:c>
    </x:row>
    <x:row r="30" ht="58" customHeight="1">
      <x:c r="A30" s="10" t="str">
        <x:v>SRC-029</x:v>
      </x:c>
      <x:c r="B30" s="10" t="str">
        <x:v>Windows Job Objects</x:v>
      </x:c>
      <x:c r="C30" s="24" t="str">
        <x:v>https://learn.microsoft.com/en-us/windows/win32/procthread/job-objects</x:v>
      </x:c>
      <x:c r="D30" s="10" t="str">
        <x:v>Platform documentation</x:v>
      </x:c>
      <x:c r="E30" s="10" t="str">
        <x:v>Microsoft</x:v>
      </x:c>
      <x:c r="F30" s="27" t="str">
        <x:v>2026-08-10</x:v>
      </x:c>
      <x:c r="G30" s="10" t="str">
        <x:v>Windows</x:v>
      </x:c>
      <x:c r="H30" s="10" t="str">
        <x:v>Win32</x:v>
      </x:c>
      <x:c r="I30" s="10" t="str">
        <x:v>Documentation; link only</x:v>
      </x:c>
      <x:c r="J30" s="10" t="str">
        <x:v>Complete process-tree ownership</x:v>
      </x:c>
      <x:c r="K30" s="10" t="str">
        <x:v>M3</x:v>
      </x:c>
      <x:c r="L30" s="10" t="str">
        <x:v>Jobs manage process groups; kill-on-close can terminate the job when its last handle closes.</x:v>
      </x:c>
      <x:c r="M30" s="10" t="str">
        <x:v>Strongest Windows trusted-runner primitive found.</x:v>
      </x:c>
      <x:c r="N30" s="10" t="str">
        <x:v>Assign immediately after creation; integration-test controller failure.</x:v>
      </x:c>
      <x:c r="O30" s="10" t="str"/>
      <x:c r="P30" s="10" t="str">
        <x:v>Adopt</x:v>
      </x:c>
      <x:c r="Q30" s="10" t="str">
        <x:v>High</x:v>
      </x:c>
    </x:row>
    <x:row r="31" ht="58" customHeight="1">
      <x:c r="A31" s="11" t="str">
        <x:v>SRC-030</x:v>
      </x:c>
      <x:c r="B31" s="11" t="str">
        <x:v>Python subprocess</x:v>
      </x:c>
      <x:c r="C31" s="25" t="str">
        <x:v>https://docs.python.org/3.12/library/subprocess.html</x:v>
      </x:c>
      <x:c r="D31" s="11" t="str">
        <x:v>Standard library documentation</x:v>
      </x:c>
      <x:c r="E31" s="11" t="str">
        <x:v>Python Software Foundation</x:v>
      </x:c>
      <x:c r="F31" s="26" t="str">
        <x:v>2026-08-10</x:v>
      </x:c>
      <x:c r="G31" s="11" t="str">
        <x:v>Python 3.12</x:v>
      </x:c>
      <x:c r="H31" s="11" t="str">
        <x:v>subprocess</x:v>
      </x:c>
      <x:c r="I31" s="11" t="str">
        <x:v>PSF documentation; link only</x:v>
      </x:c>
      <x:c r="J31" s="11" t="str">
        <x:v>Argument-array process creation and timeout semantics</x:v>
      </x:c>
      <x:c r="K31" s="11" t="str">
        <x:v>M3</x:v>
      </x:c>
      <x:c r="L31" s="11" t="str">
        <x:v>Supports shell-free process creation and timeouts, but timeout alone does not prove descendant cleanup.</x:v>
      </x:c>
      <x:c r="M31" s="11" t="str">
        <x:v>Fits orchestrator base.</x:v>
      </x:c>
      <x:c r="N31" s="11" t="str">
        <x:v>Pair with Job Objects, process groups, or container ownership.</x:v>
      </x:c>
      <x:c r="O31" s="11" t="str"/>
      <x:c r="P31" s="11" t="str">
        <x:v>Adopt</x:v>
      </x:c>
      <x:c r="Q31" s="11" t="str">
        <x:v>High</x:v>
      </x:c>
    </x:row>
    <x:row r="32" ht="58" customHeight="1">
      <x:c r="A32" s="10" t="str">
        <x:v>SRC-031</x:v>
      </x:c>
      <x:c r="B32" s="10" t="str">
        <x:v>Typer</x:v>
      </x:c>
      <x:c r="C32" s="24" t="str">
        <x:v>https://github.com/fastapi/typer</x:v>
      </x:c>
      <x:c r="D32" s="10" t="str">
        <x:v>Repository</x:v>
      </x:c>
      <x:c r="E32" s="10" t="str">
        <x:v>FastAPI project</x:v>
      </x:c>
      <x:c r="F32" s="27" t="str">
        <x:v>2026-08-10</x:v>
      </x:c>
      <x:c r="G32" s="10" t="str">
        <x:v>Python 3</x:v>
      </x:c>
      <x:c r="H32" s="10" t="str">
        <x:v>CLI</x:v>
      </x:c>
      <x:c r="I32" s="10" t="str">
        <x:v>MIT</x:v>
      </x:c>
      <x:c r="J32" s="10" t="str">
        <x:v>CLI command tree</x:v>
      </x:c>
      <x:c r="K32" s="10" t="str">
        <x:v>M0</x:v>
      </x:c>
      <x:c r="L32" s="10" t="str">
        <x:v>Declarative typed multi-command CLI.</x:v>
      </x:c>
      <x:c r="M32" s="10" t="str">
        <x:v>Current and cross-platform.</x:v>
      </x:c>
      <x:c r="N32" s="10" t="str">
        <x:v>Runtime dependency; keep command logic outside CLI callbacks.</x:v>
      </x:c>
      <x:c r="O32" s="10" t="str"/>
      <x:c r="P32" s="10" t="str">
        <x:v>Adopt</x:v>
      </x:c>
      <x:c r="Q32" s="10" t="str">
        <x:v>High</x:v>
      </x:c>
    </x:row>
    <x:row r="33" ht="58" customHeight="1">
      <x:c r="A33" s="11" t="str">
        <x:v>SRC-032</x:v>
      </x:c>
      <x:c r="B33" s="11" t="str">
        <x:v>Rich</x:v>
      </x:c>
      <x:c r="C33" s="25" t="str">
        <x:v>https://github.com/Textualize/rich</x:v>
      </x:c>
      <x:c r="D33" s="11" t="str">
        <x:v>Repository</x:v>
      </x:c>
      <x:c r="E33" s="11" t="str">
        <x:v>Textualize</x:v>
      </x:c>
      <x:c r="F33" s="26" t="str">
        <x:v>2026-08-10</x:v>
      </x:c>
      <x:c r="G33" s="11" t="str">
        <x:v>Python 3</x:v>
      </x:c>
      <x:c r="H33" s="11" t="str">
        <x:v>Terminal UI</x:v>
      </x:c>
      <x:c r="I33" s="11" t="str">
        <x:v>MIT</x:v>
      </x:c>
      <x:c r="J33" s="11" t="str">
        <x:v>Human-readable terminal presentation</x:v>
      </x:c>
      <x:c r="K33" s="11" t="str">
        <x:v>M0,M6</x:v>
      </x:c>
      <x:c r="L33" s="11" t="str">
        <x:v>Cross-platform color, tables, progress, and formatting.</x:v>
      </x:c>
      <x:c r="M33" s="11" t="str">
        <x:v>Not required for machine-readable output.</x:v>
      </x:c>
      <x:c r="N33" s="11" t="str">
        <x:v>Optional presentation dependency only.</x:v>
      </x:c>
      <x:c r="O33" s="11" t="str"/>
      <x:c r="P33" s="15" t="str">
        <x:v>Adapt</x:v>
      </x:c>
      <x:c r="Q33" s="11" t="str">
        <x:v>High</x:v>
      </x:c>
    </x:row>
    <x:row r="34" ht="58" customHeight="1">
      <x:c r="A34" s="10" t="str">
        <x:v>SRC-033</x:v>
      </x:c>
      <x:c r="B34" s="10" t="str">
        <x:v>Pydantic</x:v>
      </x:c>
      <x:c r="C34" s="24" t="str">
        <x:v>https://github.com/pydantic/pydantic</x:v>
      </x:c>
      <x:c r="D34" s="10" t="str">
        <x:v>Repository</x:v>
      </x:c>
      <x:c r="E34" s="10" t="str">
        <x:v>Pydantic</x:v>
      </x:c>
      <x:c r="F34" s="27" t="str">
        <x:v>2026-08-10</x:v>
      </x:c>
      <x:c r="G34" s="10" t="str">
        <x:v>Python 3.10+</x:v>
      </x:c>
      <x:c r="H34" s="10" t="str">
        <x:v>Schemas</x:v>
      </x:c>
      <x:c r="I34" s="10" t="str">
        <x:v>MIT</x:v>
      </x:c>
      <x:c r="J34" s="10" t="str">
        <x:v>Public result models and JSON Schema</x:v>
      </x:c>
      <x:c r="K34" s="10" t="str">
        <x:v>M0,M6</x:v>
      </x:c>
      <x:c r="L34" s="10" t="str">
        <x:v>Typed validation and generated schema support.</x:v>
      </x:c>
      <x:c r="M34" s="10" t="str">
        <x:v>Direct fit for versioned report contracts.</x:v>
      </x:c>
      <x:c r="N34" s="10" t="str">
        <x:v>Pin major/minor and golden-test schemas.</x:v>
      </x:c>
      <x:c r="O34" s="10" t="str"/>
      <x:c r="P34" s="10" t="str">
        <x:v>Adopt</x:v>
      </x:c>
      <x:c r="Q34" s="10" t="str">
        <x:v>High</x:v>
      </x:c>
    </x:row>
    <x:row r="35" ht="58" customHeight="1">
      <x:c r="A35" s="11" t="str">
        <x:v>SRC-034</x:v>
      </x:c>
      <x:c r="B35" s="11" t="str">
        <x:v>HTTPX</x:v>
      </x:c>
      <x:c r="C35" s="25" t="str">
        <x:v>https://github.com/encode/httpx</x:v>
      </x:c>
      <x:c r="D35" s="11" t="str">
        <x:v>Repository</x:v>
      </x:c>
      <x:c r="E35" s="11" t="str">
        <x:v>Encode</x:v>
      </x:c>
      <x:c r="F35" s="26" t="str">
        <x:v>2026-08-10</x:v>
      </x:c>
      <x:c r="G35" s="11" t="str">
        <x:v>Python 3</x:v>
      </x:c>
      <x:c r="H35" s="11" t="str">
        <x:v>HTTP client</x:v>
      </x:c>
      <x:c r="I35" s="11" t="str">
        <x:v>BSD-3-Clause</x:v>
      </x:c>
      <x:c r="J35" s="11" t="str">
        <x:v>Streaming acquisition and testable transports</x:v>
      </x:c>
      <x:c r="K35" s="11" t="str">
        <x:v>M1,M8</x:v>
      </x:c>
      <x:c r="L35" s="11" t="str">
        <x:v>Async HTTP client with redirects and transport abstraction.</x:v>
      </x:c>
      <x:c r="M35" s="11" t="str">
        <x:v>Fits adapter requirements.</x:v>
      </x:c>
      <x:c r="N35" s="11" t="str">
        <x:v>Enforce limits, redaction, TLS, and redirect policy in wrapper.</x:v>
      </x:c>
      <x:c r="O35" s="11" t="str"/>
      <x:c r="P35" s="11" t="str">
        <x:v>Adopt</x:v>
      </x:c>
      <x:c r="Q35" s="11" t="str">
        <x:v>High</x:v>
      </x:c>
    </x:row>
    <x:row r="36" ht="58" customHeight="1">
      <x:c r="A36" s="10" t="str">
        <x:v>SRC-035</x:v>
      </x:c>
      <x:c r="B36" s="10" t="str">
        <x:v>packaging</x:v>
      </x:c>
      <x:c r="C36" s="24" t="str">
        <x:v>https://github.com/pypa/packaging</x:v>
      </x:c>
      <x:c r="D36" s="10" t="str">
        <x:v>Repository</x:v>
      </x:c>
      <x:c r="E36" s="10" t="str">
        <x:v>PyPA</x:v>
      </x:c>
      <x:c r="F36" s="27" t="str">
        <x:v>2026-08-10</x:v>
      </x:c>
      <x:c r="G36" s="10" t="str">
        <x:v>Python 3</x:v>
      </x:c>
      <x:c r="H36" s="10" t="str">
        <x:v>PEP 440</x:v>
      </x:c>
      <x:c r="I36" s="10" t="str">
        <x:v>Apache-2.0 OR BSD-2-Clause</x:v>
      </x:c>
      <x:c r="J36" s="10" t="str">
        <x:v>Version parsing and comparison</x:v>
      </x:c>
      <x:c r="K36" s="10" t="str">
        <x:v>M1</x:v>
      </x:c>
      <x:c r="L36" s="10" t="str">
        <x:v>Canonical implementation of Python packaging interoperability/version rules.</x:v>
      </x:c>
      <x:c r="M36" s="10" t="str">
        <x:v>Appropriate for normalized version evidence.</x:v>
      </x:c>
      <x:c r="N36" s="10" t="str">
        <x:v>Do not use release dates as version evidence.</x:v>
      </x:c>
      <x:c r="O36" s="10" t="str"/>
      <x:c r="P36" s="10" t="str">
        <x:v>Adopt</x:v>
      </x:c>
      <x:c r="Q36" s="10" t="str">
        <x:v>High</x:v>
      </x:c>
    </x:row>
    <x:row r="37" ht="58" customHeight="1">
      <x:c r="A37" s="11" t="str">
        <x:v>SRC-036</x:v>
      </x:c>
      <x:c r="B37" s="11" t="str">
        <x:v>platformdirs</x:v>
      </x:c>
      <x:c r="C37" s="25" t="str">
        <x:v>https://github.com/tox-dev/platformdirs</x:v>
      </x:c>
      <x:c r="D37" s="11" t="str">
        <x:v>Repository</x:v>
      </x:c>
      <x:c r="E37" s="11" t="str">
        <x:v>tox-dev</x:v>
      </x:c>
      <x:c r="F37" s="26" t="str">
        <x:v>2026-08-10</x:v>
      </x:c>
      <x:c r="G37" s="11" t="str">
        <x:v>Python 3</x:v>
      </x:c>
      <x:c r="H37" s="11" t="str">
        <x:v>Filesystem paths</x:v>
      </x:c>
      <x:c r="I37" s="11" t="str">
        <x:v>MIT</x:v>
      </x:c>
      <x:c r="J37" s="11" t="str">
        <x:v>Cross-platform cache/config locations</x:v>
      </x:c>
      <x:c r="K37" s="11" t="str">
        <x:v>M0,M3</x:v>
      </x:c>
      <x:c r="L37" s="11" t="str">
        <x:v>Provides standard per-platform data, cache, config, and log roots.</x:v>
      </x:c>
      <x:c r="M37" s="11" t="str">
        <x:v>Useful for the CLI, not the per-run isolated engine HOME itself.</x:v>
      </x:c>
      <x:c r="N37" s="11" t="str">
        <x:v>Keep run workspaces explicit and content-address caches separately.</x:v>
      </x:c>
      <x:c r="O37" s="11" t="str"/>
      <x:c r="P37" s="11" t="str">
        <x:v>Adopt</x:v>
      </x:c>
      <x:c r="Q37" s="11" t="str">
        <x:v>High</x:v>
      </x:c>
    </x:row>
    <x:row r="38" ht="58" customHeight="1">
      <x:c r="A38" s="10" t="str">
        <x:v>SRC-037</x:v>
      </x:c>
      <x:c r="B38" s="10" t="str">
        <x:v>psutil</x:v>
      </x:c>
      <x:c r="C38" s="24" t="str">
        <x:v>https://github.com/giampaolo/psutil</x:v>
      </x:c>
      <x:c r="D38" s="10" t="str">
        <x:v>Repository</x:v>
      </x:c>
      <x:c r="E38" s="10" t="str">
        <x:v>psutil contributors</x:v>
      </x:c>
      <x:c r="F38" s="27" t="str">
        <x:v>2026-08-10</x:v>
      </x:c>
      <x:c r="G38" s="10" t="str">
        <x:v>Cross-platform</x:v>
      </x:c>
      <x:c r="H38" s="10" t="str">
        <x:v>Process telemetry</x:v>
      </x:c>
      <x:c r="I38" s="10" t="str">
        <x:v>BSD-3-Clause</x:v>
      </x:c>
      <x:c r="J38" s="10" t="str">
        <x:v>Process evidence and fallback cleanup</x:v>
      </x:c>
      <x:c r="K38" s="10" t="str">
        <x:v>M3</x:v>
      </x:c>
      <x:c r="L38" s="10" t="str">
        <x:v>Cross-platform process inspection and management.</x:v>
      </x:c>
      <x:c r="M38" s="10" t="str">
        <x:v>Not a race-free Windows containment guarantee.</x:v>
      </x:c>
      <x:c r="N38" s="10" t="str">
        <x:v>Use Job Objects/process groups for ownership.</x:v>
      </x:c>
      <x:c r="O38" s="10" t="str"/>
      <x:c r="P38" s="15" t="str">
        <x:v>Adapt</x:v>
      </x:c>
      <x:c r="Q38" s="10" t="str">
        <x:v>High</x:v>
      </x:c>
    </x:row>
    <x:row r="39" ht="58" customHeight="1">
      <x:c r="A39" s="11" t="str">
        <x:v>SRC-038</x:v>
      </x:c>
      <x:c r="B39" s="11" t="str">
        <x:v>pytest</x:v>
      </x:c>
      <x:c r="C39" s="25" t="str">
        <x:v>https://github.com/pytest-dev/pytest</x:v>
      </x:c>
      <x:c r="D39" s="11" t="str">
        <x:v>Repository</x:v>
      </x:c>
      <x:c r="E39" s="11" t="str">
        <x:v>pytest-dev</x:v>
      </x:c>
      <x:c r="F39" s="26" t="str">
        <x:v>2026-08-10</x:v>
      </x:c>
      <x:c r="G39" s="11" t="str">
        <x:v>Python 3.10+</x:v>
      </x:c>
      <x:c r="H39" s="11" t="str">
        <x:v>Testing</x:v>
      </x:c>
      <x:c r="I39" s="11" t="str">
        <x:v>MIT</x:v>
      </x:c>
      <x:c r="J39" s="11" t="str">
        <x:v>Unit, fixture, and integration tests</x:v>
      </x:c>
      <x:c r="K39" s="11" t="str">
        <x:v>M0-M10</x:v>
      </x:c>
      <x:c r="L39" s="11" t="str">
        <x:v>Fixtures and parametrization fit archives, providers, schemas, and classifier matrices.</x:v>
      </x:c>
      <x:c r="M39" s="11" t="str">
        <x:v>Development dependency.</x:v>
      </x:c>
      <x:c r="N39" s="11" t="str">
        <x:v>Keep hostile fixtures inert and generated.</x:v>
      </x:c>
      <x:c r="O39" s="11" t="str"/>
      <x:c r="P39" s="11" t="str">
        <x:v>Adopt</x:v>
      </x:c>
      <x:c r="Q39" s="11" t="str">
        <x:v>High</x:v>
      </x:c>
    </x:row>
    <x:row r="40" ht="58" customHeight="1">
      <x:c r="A40" s="10" t="str">
        <x:v>SRC-039</x:v>
      </x:c>
      <x:c r="B40" s="10" t="str">
        <x:v>Ruff</x:v>
      </x:c>
      <x:c r="C40" s="24" t="str">
        <x:v>https://github.com/astral-sh/ruff</x:v>
      </x:c>
      <x:c r="D40" s="10" t="str">
        <x:v>Repository</x:v>
      </x:c>
      <x:c r="E40" s="10" t="str">
        <x:v>Astral</x:v>
      </x:c>
      <x:c r="F40" s="27" t="str">
        <x:v>2026-08-10</x:v>
      </x:c>
      <x:c r="G40" s="10" t="str">
        <x:v>Python</x:v>
      </x:c>
      <x:c r="H40" s="10" t="str">
        <x:v>Lint/format</x:v>
      </x:c>
      <x:c r="I40" s="10" t="str">
        <x:v>MIT</x:v>
      </x:c>
      <x:c r="J40" s="10" t="str">
        <x:v>Quality gate</x:v>
      </x:c>
      <x:c r="K40" s="10" t="str">
        <x:v>M0</x:v>
      </x:c>
      <x:c r="L40" s="10" t="str">
        <x:v>Fast linter and formatter.</x:v>
      </x:c>
      <x:c r="M40" s="10" t="str">
        <x:v>Development-only.</x:v>
      </x:c>
      <x:c r="N40" s="10" t="str">
        <x:v>Pin in CI and lock.</x:v>
      </x:c>
      <x:c r="O40" s="10" t="str"/>
      <x:c r="P40" s="10" t="str">
        <x:v>Adopt</x:v>
      </x:c>
      <x:c r="Q40" s="10" t="str">
        <x:v>High</x:v>
      </x:c>
    </x:row>
    <x:row r="41" ht="58" customHeight="1">
      <x:c r="A41" s="11" t="str">
        <x:v>SRC-040</x:v>
      </x:c>
      <x:c r="B41" s="11" t="str">
        <x:v>mypy</x:v>
      </x:c>
      <x:c r="C41" s="25" t="str">
        <x:v>https://github.com/python/mypy</x:v>
      </x:c>
      <x:c r="D41" s="11" t="str">
        <x:v>Repository</x:v>
      </x:c>
      <x:c r="E41" s="11" t="str">
        <x:v>mypy contributors</x:v>
      </x:c>
      <x:c r="F41" s="26" t="str">
        <x:v>2026-08-10</x:v>
      </x:c>
      <x:c r="G41" s="11" t="str">
        <x:v>Python</x:v>
      </x:c>
      <x:c r="H41" s="11" t="str">
        <x:v>Static typing</x:v>
      </x:c>
      <x:c r="I41" s="11" t="str">
        <x:v>MIT</x:v>
      </x:c>
      <x:c r="J41" s="11" t="str">
        <x:v>Boundary/type quality gate</x:v>
      </x:c>
      <x:c r="K41" s="11" t="str">
        <x:v>M0</x:v>
      </x:c>
      <x:c r="L41" s="11" t="str">
        <x:v>Static checker for typed Python.</x:v>
      </x:c>
      <x:c r="M41" s="11" t="str">
        <x:v>Useful at provider, process, and schema boundaries.</x:v>
      </x:c>
      <x:c r="N41" s="11" t="str">
        <x:v>Adopt incrementally without weakening runtime validation.</x:v>
      </x:c>
      <x:c r="O41" s="11" t="str"/>
      <x:c r="P41" s="11" t="str">
        <x:v>Adopt</x:v>
      </x:c>
      <x:c r="Q41" s="11" t="str">
        <x:v>High</x:v>
      </x:c>
    </x:row>
    <x:row r="42" ht="58" customHeight="1">
      <x:c r="A42" s="10" t="str">
        <x:v>SRC-041</x:v>
      </x:c>
      <x:c r="B42" s="10" t="str">
        <x:v>uv</x:v>
      </x:c>
      <x:c r="C42" s="24" t="str">
        <x:v>https://github.com/astral-sh/uv</x:v>
      </x:c>
      <x:c r="D42" s="10" t="str">
        <x:v>Repository</x:v>
      </x:c>
      <x:c r="E42" s="10" t="str">
        <x:v>Astral</x:v>
      </x:c>
      <x:c r="F42" s="27" t="str">
        <x:v>2026-08-10</x:v>
      </x:c>
      <x:c r="G42" s="10" t="str">
        <x:v>Python tooling</x:v>
      </x:c>
      <x:c r="H42" s="10" t="str">
        <x:v>Package manager</x:v>
      </x:c>
      <x:c r="I42" s="10" t="str">
        <x:v>Apache-2.0 OR MIT</x:v>
      </x:c>
      <x:c r="J42" s="10" t="str">
        <x:v>Locking and reproducible environment sync</x:v>
      </x:c>
      <x:c r="K42" s="10" t="str">
        <x:v>M0,M9</x:v>
      </x:c>
      <x:c r="L42" s="10" t="str">
        <x:v>Supports project lockfiles and reproducible sync workflows.</x:v>
      </x:c>
      <x:c r="M42" s="10" t="str">
        <x:v>Tooling dependency, not product runtime.</x:v>
      </x:c>
      <x:c r="N42" s="10" t="str">
        <x:v>Pin uv itself in CI; scan exact lock.</x:v>
      </x:c>
      <x:c r="O42" s="10" t="str"/>
      <x:c r="P42" s="10" t="str">
        <x:v>Adopt</x:v>
      </x:c>
      <x:c r="Q42" s="10" t="str">
        <x:v>High</x:v>
      </x:c>
    </x:row>
    <x:row r="43" ht="58" customHeight="1">
      <x:c r="A43" s="11" t="str">
        <x:v>SRC-042</x:v>
      </x:c>
      <x:c r="B43" s="11" t="str">
        <x:v>godot-ci</x:v>
      </x:c>
      <x:c r="C43" s="25" t="str">
        <x:v>https://github.com/abarichello/godot-ci</x:v>
      </x:c>
      <x:c r="D43" s="11" t="str">
        <x:v>Comparable tool</x:v>
      </x:c>
      <x:c r="E43" s="11" t="str">
        <x:v>abarichello contributors</x:v>
      </x:c>
      <x:c r="F43" s="26" t="str">
        <x:v>2026-08-10</x:v>
      </x:c>
      <x:c r="G43" s="11" t="str">
        <x:v>Godot</x:v>
      </x:c>
      <x:c r="H43" s="11" t="str">
        <x:v>Docker/CI</x:v>
      </x:c>
      <x:c r="I43" s="11" t="str">
        <x:v>MIT</x:v>
      </x:c>
      <x:c r="J43" s="11" t="str">
        <x:v>Container/image and CI pattern reference</x:v>
      </x:c>
      <x:c r="K43" s="11" t="str">
        <x:v>M4,M9</x:v>
      </x:c>
      <x:c r="L43" s="11" t="str">
        <x:v>Godot export images and CI examples for trusted projects.</x:v>
      </x:c>
      <x:c r="M43" s="11" t="str">
        <x:v>Not designed as hostile plugin isolation.</x:v>
      </x:c>
      <x:c r="N43" s="11" t="str">
        <x:v>Borrow image layout only; do not inherit trust assumptions.</x:v>
      </x:c>
      <x:c r="O43" s="11" t="str"/>
      <x:c r="P43" s="15" t="str">
        <x:v>Inspiration</x:v>
      </x:c>
      <x:c r="Q43" s="11" t="str">
        <x:v>High</x:v>
      </x:c>
    </x:row>
    <x:row r="44" ht="58" customHeight="1">
      <x:c r="A44" s="10" t="str">
        <x:v>SRC-043</x:v>
      </x:c>
      <x:c r="B44" s="10" t="str">
        <x:v>GDScript Toolkit</x:v>
      </x:c>
      <x:c r="C44" s="24" t="str">
        <x:v>https://github.com/Scony/godot-gdscript-toolkit</x:v>
      </x:c>
      <x:c r="D44" s="10" t="str">
        <x:v>Comparable tool</x:v>
      </x:c>
      <x:c r="E44" s="10" t="str">
        <x:v>Scony contributors</x:v>
      </x:c>
      <x:c r="F44" s="27" t="str">
        <x:v>2026-08-10</x:v>
      </x:c>
      <x:c r="G44" s="10" t="str">
        <x:v>Godot 4</x:v>
      </x:c>
      <x:c r="H44" s="10" t="str">
        <x:v>Parser/linter</x:v>
      </x:c>
      <x:c r="I44" s="10" t="str">
        <x:v>MIT</x:v>
      </x:c>
      <x:c r="J44" s="10" t="str">
        <x:v>Optional syntax advisory and parser comparison</x:v>
      </x:c>
      <x:c r="K44" s="10" t="str">
        <x:v>M1,M5</x:v>
      </x:c>
      <x:c r="L44" s="10" t="str">
        <x:v>Independent parser, linter, formatter, and metrics tools.</x:v>
      </x:c>
      <x:c r="M44" s="10" t="str">
        <x:v>Can lag engine grammar and cannot prove runtime/API compatibility.</x:v>
      </x:c>
      <x:c r="N44" s="10" t="str">
        <x:v>Reject as core; optional advisory after MVP.</x:v>
      </x:c>
      <x:c r="O44" s="10" t="str"/>
      <x:c r="P44" s="17" t="str">
        <x:v>Reject</x:v>
      </x:c>
      <x:c r="Q44" s="10" t="str">
        <x:v>High</x:v>
      </x:c>
    </x:row>
    <x:row r="45" ht="58" customHeight="1">
      <x:c r="A45" s="11" t="str">
        <x:v>SRC-044</x:v>
      </x:c>
      <x:c r="B45" s="11" t="str">
        <x:v>GUT</x:v>
      </x:c>
      <x:c r="C45" s="25" t="str">
        <x:v>https://github.com/bitwes/Gut</x:v>
      </x:c>
      <x:c r="D45" s="11" t="str">
        <x:v>Comparable tool</x:v>
      </x:c>
      <x:c r="E45" s="11" t="str">
        <x:v>bitwes contributors</x:v>
      </x:c>
      <x:c r="F45" s="26" t="str">
        <x:v>2026-08-10</x:v>
      </x:c>
      <x:c r="G45" s="11" t="str">
        <x:v>Godot 4</x:v>
      </x:c>
      <x:c r="H45" s="11" t="str">
        <x:v>Unit testing</x:v>
      </x:c>
      <x:c r="I45" s="11" t="str">
        <x:v>MIT</x:v>
      </x:c>
      <x:c r="J45" s="11" t="str">
        <x:v>CLI/JUnit reporting inspiration</x:v>
      </x:c>
      <x:c r="K45" s="11" t="str">
        <x:v>M5,M6</x:v>
      </x:c>
      <x:c r="L45" s="11" t="str">
        <x:v>Godot unit-test framework with version-aware releases.</x:v>
      </x:c>
      <x:c r="M45" s="11" t="str">
        <x:v>Generic plugins do not ship GUT tests; running them adds code execution.</x:v>
      </x:c>
      <x:c r="N45" s="11" t="str">
        <x:v>Do not use as generic harness.</x:v>
      </x:c>
      <x:c r="O45" s="11" t="str"/>
      <x:c r="P45" s="17" t="str">
        <x:v>Reject</x:v>
      </x:c>
      <x:c r="Q45" s="11" t="str">
        <x:v>High</x:v>
      </x:c>
    </x:row>
    <x:row r="46" ht="58" customHeight="1">
      <x:c r="A46" s="10" t="str">
        <x:v>SRC-045</x:v>
      </x:c>
      <x:c r="B46" s="10" t="str">
        <x:v>Compatester research query log</x:v>
      </x:c>
      <x:c r="C46" s="24" t="str">
        <x:v>Local research ledger</x:v>
      </x:c>
      <x:c r="D46" s="10" t="str">
        <x:v>Research record</x:v>
      </x:c>
      <x:c r="E46" s="10" t="str">
        <x:v>Preflight</x:v>
      </x:c>
      <x:c r="F46" s="27" t="str">
        <x:v>2026-08-10</x:v>
      </x:c>
      <x:c r="G46" s="10" t="str">
        <x:v>N/A</x:v>
      </x:c>
      <x:c r="H46" s="10" t="str">
        <x:v>Evidence</x:v>
      </x:c>
      <x:c r="I46" s="10" t="str">
        <x:v>Project material</x:v>
      </x:c>
      <x:c r="J46" s="10" t="str">
        <x:v>Bounded search ledger including unresolved queries</x:v>
      </x:c>
      <x:c r="K46" s="10" t="str">
        <x:v>Preflight</x:v>
      </x:c>
      <x:c r="L46" s="10" t="str">
        <x:v>Records 23 query/inspection outcomes and dispositions.</x:v>
      </x:c>
      <x:c r="M46" s="10" t="str">
        <x:v>No exhaustive-absence claims.</x:v>
      </x:c>
      <x:c r="N46" s="10" t="str">
        <x:v>Keep updated when provider contracts or target versions change.</x:v>
      </x:c>
      <x:c r="O46" s="10" t="str">
        <x:v>docs/gamedev/references/research-query-log.md</x:v>
      </x:c>
      <x:c r="P46" s="10" t="str">
        <x:v>Adopt</x:v>
      </x:c>
      <x:c r="Q46" s="10" t="str">
        <x:v>High</x:v>
      </x:c>
    </x:row>
    <x:row r="47" ht="58" customHeight="1">
      <x:c r="A47" s="11" t="str">
        <x:v>SRC-046</x:v>
      </x:c>
      <x:c r="B47" s="11" t="str">
        <x:v>Compatester adversarial evidence audit</x:v>
      </x:c>
      <x:c r="C47" s="25" t="str">
        <x:v>Local audit</x:v>
      </x:c>
      <x:c r="D47" s="11" t="str">
        <x:v>Audit record</x:v>
      </x:c>
      <x:c r="E47" s="11" t="str">
        <x:v>Preflight SELF_REVIEW</x:v>
      </x:c>
      <x:c r="F47" s="26" t="str">
        <x:v>2026-08-10</x:v>
      </x:c>
      <x:c r="G47" s="11" t="str">
        <x:v>N/A</x:v>
      </x:c>
      <x:c r="H47" s="11" t="str">
        <x:v>Evidence</x:v>
      </x:c>
      <x:c r="I47" s="11" t="str">
        <x:v>Project material</x:v>
      </x:c>
      <x:c r="J47" s="11" t="str">
        <x:v>Falsification of consequential recommendations</x:v>
      </x:c>
      <x:c r="K47" s="11" t="str">
        <x:v>Preflight</x:v>
      </x:c>
      <x:c r="L47" s="11" t="str">
        <x:v>Two same-reviewer passes retain PASS, FAIL, and BLOCKED findings.</x:v>
      </x:c>
      <x:c r="M47" s="11" t="str">
        <x:v>Not independent review.</x:v>
      </x:c>
      <x:c r="N47" s="11" t="str">
        <x:v>Resolve blocking findings before affected gates.</x:v>
      </x:c>
      <x:c r="O47" s="11" t="str">
        <x:v>docs/gamedev/references/evidence-audit.md</x:v>
      </x:c>
      <x:c r="P47" s="11" t="str">
        <x:v>Adopt</x:v>
      </x:c>
      <x:c r="Q47" s="11" t="str">
        <x:v>High</x:v>
      </x:c>
    </x:row>
    <x:row r="48" ht="72" customHeight="1">
      <x:c r="A48" s="103" t="str">
        <x:v>SRC-047</x:v>
      </x:c>
      <x:c r="B48" s="103" t="str">
        <x:v>Compatester local gate closure evidence</x:v>
      </x:c>
      <x:c r="C48" s="103" t="str">
        <x:v>Local implementation evidence</x:v>
      </x:c>
      <x:c r="D48" s="103" t="str">
        <x:v>Gate record</x:v>
      </x:c>
      <x:c r="E48" s="103" t="str">
        <x:v>Project</x:v>
      </x:c>
      <x:c r="F48" s="110" t="n">
        <x:v>46244</x:v>
      </x:c>
      <x:c r="G48" s="103" t="str">
        <x:v>Redot 26.2 / Godot 4.5.2</x:v>
      </x:c>
      <x:c r="H48" s="103" t="str">
        <x:v>Redot; Godot; Docker; .NET</x:v>
      </x:c>
      <x:c r="I48" s="103" t="str">
        <x:v>Project material; upstream binaries are not redistributed</x:v>
      </x:c>
      <x:c r="J48" s="103" t="str">
        <x:v>Exact engine, containment, differential, Mono, and alpha release-fence evidence</x:v>
      </x:c>
      <x:c r="K48" s="103" t="str">
        <x:v>M2-M8,M10-M11</x:v>
      </x:c>
      <x:c r="L48" s="103" t="str">
        <x:v>Records immutable hashes, final worker identity, fixture/config hashes, two-run captures, and clean distribution results.</x:v>
      </x:c>
      <x:c r="M48" s="103" t="str">
        <x:v>Authoritative for the implemented local alpha scope; not a macOS, G-06, or publication claim.</x:v>
      </x:c>
      <x:c r="N48" s="103" t="str">
        <x:v>Regenerate after any engine, worker, fixture, dependency lock, or distributable change.</x:v>
      </x:c>
      <x:c r="O48" s="103" t="str">
        <x:v>docs/gamedev/references/gate-closure-evidence.md</x:v>
      </x:c>
      <x:c r="P48" s="103" t="str">
        <x:v>Adopt</x:v>
      </x:c>
      <x:c r="Q48" s="103" t="str">
        <x:v>High</x:v>
      </x:c>
    </x:row>
    <x:row r="49" ht="72" customHeight="1">
      <x:c r="A49" s="103" t="str">
        <x:v>SRC-048</x:v>
      </x:c>
      <x:c r="B49" s="103" t="str">
        <x:v>Godot 4.5.2 stable release</x:v>
      </x:c>
      <x:c r="C49" s="103" t="str">
        <x:v>https://github.com/godotengine/godot/releases/tag/4.5.2-stable</x:v>
      </x:c>
      <x:c r="D49" s="103" t="str">
        <x:v>Release</x:v>
      </x:c>
      <x:c r="E49" s="103" t="str">
        <x:v>Godot Engine</x:v>
      </x:c>
      <x:c r="F49" s="110" t="n">
        <x:v>46244</x:v>
      </x:c>
      <x:c r="G49" s="103" t="str">
        <x:v>Godot 4.5.2</x:v>
      </x:c>
      <x:c r="H49" s="103" t="str">
        <x:v>Godot control</x:v>
      </x:c>
      <x:c r="I49" s="103" t="str">
        <x:v>MIT; release assets</x:v>
      </x:c>
      <x:c r="J49" s="103" t="str">
        <x:v>Exact control archive, executable, and fresh API-snapshot provenance</x:v>
      </x:c>
      <x:c r="K49" s="103" t="str">
        <x:v>M7-M8</x:v>
      </x:c>
      <x:c r="L49" s="103" t="str">
        <x:v>The official Windows archive was retained and hashed; its exact console binary generated two identical API snapshots.</x:v>
      </x:c>
      <x:c r="M49" s="103" t="str">
        <x:v>Exact compatibility-lineage control for Redot 26.2 differential fixtures.</x:v>
      </x:c>
      <x:c r="N49" s="103" t="str">
        <x:v>Retain archive/executable/snapshot hashes; do not substitute the bundled 4.5.0 reference.</x:v>
      </x:c>
      <x:c r="O49" s="103" t="str">
        <x:v>docs/gamedev/references/gate-closure-evidence.md</x:v>
      </x:c>
      <x:c r="P49" s="103" t="str">
        <x:v>Adopt</x:v>
      </x:c>
      <x:c r="Q49" s="103" t="str">
        <x:v>High</x:v>
      </x:c>
    </x:row>
    <x:row r="50" ht="72" customHeight="1">
      <x:c r="A50" s="103" t="str">
        <x:v>SRC-049</x:v>
      </x:c>
      <x:c r="B50" s="103" t="str">
        <x:v>.NET 8 release metadata</x:v>
      </x:c>
      <x:c r="C50" s="103" t="str">
        <x:v>https://dotnetcli.blob.core.windows.net/dotnet/release-metadata/8.0/releases.json</x:v>
      </x:c>
      <x:c r="D50" s="103" t="str">
        <x:v>Release metadata</x:v>
      </x:c>
      <x:c r="E50" s="103" t="str">
        <x:v>Microsoft</x:v>
      </x:c>
      <x:c r="F50" s="110" t="n">
        <x:v>46244</x:v>
      </x:c>
      <x:c r="G50" s="103" t="str">
        <x:v>.NET SDK 8.0.423 / runtime 8.0.29</x:v>
      </x:c>
      <x:c r="H50" s="103" t="str">
        <x:v>.NET SDK</x:v>
      </x:c>
      <x:c r="I50" s="103" t="str">
        <x:v>MIT; official binary distribution</x:v>
      </x:c>
      <x:c r="J50" s="103" t="str">
        <x:v>Portable SDK identity for the trusted Redot Mono fixture</x:v>
      </x:c>
      <x:c r="K50" s="103" t="str">
        <x:v>M11</x:v>
      </x:c>
      <x:c r="L50" s="103" t="str">
        <x:v>Official metadata supplied the SDK archive identity used by the twice-passing minimal C# fixture.</x:v>
      </x:c>
      <x:c r="M50" s="103" t="str">
        <x:v>Supports only the explicitly registered local Redot 26.2 Mono capability.</x:v>
      </x:c>
      <x:c r="N50" s="103" t="str">
        <x:v>Keep .NET execution opt-in and separately bind the Redot Mono archive and local NuGet feed.</x:v>
      </x:c>
      <x:c r="O50" s="103" t="str">
        <x:v>docs/gamedev/references/gate-closure-evidence.md</x:v>
      </x:c>
      <x:c r="P50" s="103" t="str">
        <x:v>Adopt</x:v>
      </x:c>
      <x:c r="Q50" s="103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ef419669b3ef4d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hidden="0" customWidth="1"/>
    <x:col min="2" max="2" width="9" hidden="0" customWidth="1"/>
    <x:col min="3" max="3" width="42" hidden="0" customWidth="1"/>
    <x:col min="4" max="4" width="27" hidden="0" customWidth="1"/>
    <x:col min="5" max="5" width="58" hidden="0" customWidth="1"/>
    <x:col min="6" max="6" width="48" hidden="0" customWidth="1"/>
    <x:col min="7" max="7" width="20" hidden="0" customWidth="1"/>
    <x:col min="8" max="8" width="14" hidden="0" customWidth="1"/>
    <x:col min="9" max="9" width="54" hidden="0" customWidth="1"/>
  </x:cols>
  <x:sheetData>
    <x:row r="1" ht="30" customHeight="1">
      <x:c r="A1" s="9" t="str">
        <x:v>ID</x:v>
      </x:c>
      <x:c r="B1" s="9" t="str">
        <x:v>Order</x:v>
      </x:c>
      <x:c r="C1" s="9" t="str">
        <x:v>Outcome</x:v>
      </x:c>
      <x:c r="D1" s="9" t="str">
        <x:v>Dependencies</x:v>
      </x:c>
      <x:c r="E1" s="9" t="str">
        <x:v>Acceptance Criteria</x:v>
      </x:c>
      <x:c r="F1" s="9" t="str">
        <x:v>Verification</x:v>
      </x:c>
      <x:c r="G1" s="9" t="str">
        <x:v>Status</x:v>
      </x:c>
      <x:c r="H1" s="9" t="str">
        <x:v>Owner</x:v>
      </x:c>
      <x:c r="I1" s="9" t="str">
        <x:v>Links</x:v>
      </x:c>
    </x:row>
    <x:row r="2" ht="50" customHeight="1">
      <x:c r="A2" s="10" t="str">
        <x:v>MS-001</x:v>
      </x:c>
      <x:c r="B2" s="10" t="n">
        <x:v>0</x:v>
      </x:c>
      <x:c r="C2" s="10" t="str">
        <x:v>Repository and public contracts</x:v>
      </x:c>
      <x:c r="D2" s="10" t="str">
        <x:v>Accepted preflight amendments</x:v>
      </x:c>
      <x:c r="E2" s="10" t="str">
        <x:v>Version command works; schemas and security docs exist; quality gates pass.</x:v>
      </x:c>
      <x:c r="F2" s="10" t="str">
        <x:v>CLI/schema golden tests and locked dependency audit.</x:v>
      </x:c>
      <x:c r="G2" s="136" t="str">
        <x:v>Complete (local)</x:v>
      </x:c>
      <x:c r="H2" s="10" t="str">
        <x:v>Project</x:v>
      </x:c>
      <x:c r="I2" s="24" t="str">
        <x:v>docs/gamedev/implementation-plan.md#ms-001--repository-and-public-contracts</x:v>
      </x:c>
    </x:row>
    <x:row r="3" ht="50" customHeight="1">
      <x:c r="A3" s="11" t="str">
        <x:v>MS-002</x:v>
      </x:c>
      <x:c r="B3" s="11" t="n">
        <x:v>1</x:v>
      </x:c>
      <x:c r="C3" s="11" t="str">
        <x:v>Safe source acquisition and static inspect</x:v>
      </x:c>
      <x:c r="D3" s="11" t="str">
        <x:v>MS-001</x:v>
      </x:c>
      <x:c r="E3" s="11" t="str">
        <x:v>No plugin code executes; hostile archives fail; immutable GitHub/Codeberg fixtures resolve; G-01 passes.</x:v>
      </x:c>
      <x:c r="F3" s="11" t="str">
        <x:v>G-01 static inspect oracle plus unit/provider contract suites.</x:v>
      </x:c>
      <x:c r="G3" s="135" t="str">
        <x:v>Implemented; canonical G-01 CI pending</x:v>
      </x:c>
      <x:c r="H3" s="11" t="str">
        <x:v>Project</x:v>
      </x:c>
      <x:c r="I3" s="25" t="str">
        <x:v>docs/gamedev/implementation-plan.md#ms-002--safe-acquisition-and-static-inspect</x:v>
      </x:c>
    </x:row>
    <x:row r="4" ht="50" customHeight="1">
      <x:c r="A4" s="10" t="str">
        <x:v>MS-003</x:v>
      </x:c>
      <x:c r="B4" s="10" t="n">
        <x:v>2</x:v>
      </x:c>
      <x:c r="C4" s="10" t="str">
        <x:v>Engine doctor, API snapshots, and diff</x:v>
      </x:c>
      <x:c r="D4" s="10" t="str">
        <x:v>MS-001; clean verified Redot editor</x:v>
      </x:c>
      <x:c r="E4" s="10" t="str">
        <x:v>Fresh deterministic Redot snapshot; dual identity; binary/archive hashes; API diff tests; G-02 passes.</x:v>
      </x:c>
      <x:c r="F4" s="10" t="str">
        <x:v>G-02 bounded doctor on a digest-verified clean archive.</x:v>
      </x:c>
      <x:c r="G4" s="136" t="str">
        <x:v>Complete — G-02 x2</x:v>
      </x:c>
      <x:c r="H4" s="10" t="str">
        <x:v>Project</x:v>
      </x:c>
      <x:c r="I4" s="24" t="str">
        <x:v>docs/gamedev/implementation-plan.md#ms-003--engine-doctor-snapshots-and-api-diff</x:v>
      </x:c>
    </x:row>
    <x:row r="5" ht="50" customHeight="1">
      <x:c r="A5" s="11" t="str">
        <x:v>MS-004</x:v>
      </x:c>
      <x:c r="B5" s="11" t="n">
        <x:v>3</x:v>
      </x:c>
      <x:c r="C5" s="11" t="str">
        <x:v>Disposable trusted process runner</x:v>
      </x:c>
      <x:c r="D5" s="11" t="str">
        <x:v>MS-002,MS-003</x:v>
      </x:c>
      <x:c r="E5" s="11" t="str">
        <x:v>Timeout/controller failure kills the full tree; source and user settings remain unchanged; G-03 host passes.</x:v>
      </x:c>
      <x:c r="F5" s="11" t="str">
        <x:v>G-03 Job Object/process-group containment oracle.</x:v>
      </x:c>
      <x:c r="G5" s="136" t="str">
        <x:v>Complete — Windows G-03 x2</x:v>
      </x:c>
      <x:c r="H5" s="11" t="str">
        <x:v>Project</x:v>
      </x:c>
      <x:c r="I5" s="25" t="str">
        <x:v>docs/gamedev/implementation-plan.md#ms-004--disposable-workspace-and-trusted-process-runner</x:v>
      </x:c>
    </x:row>
    <x:row r="6" ht="50" customHeight="1">
      <x:c r="A6" s="10" t="str">
        <x:v>MS-005</x:v>
      </x:c>
      <x:c r="B6" s="10" t="n">
        <x:v>4</x:v>
      </x:c>
      <x:c r="C6" s="10" t="str">
        <x:v>Docker Linux containment</x:v>
      </x:c>
      <x:c r="D6" s="10" t="str">
        <x:v>MS-004</x:v>
      </x:c>
      <x:c r="E6" s="10" t="str">
        <x:v>Non-root, no network/socket, bounded resources, isolated state, recorded digest/profile; G-03 container passes.</x:v>
      </x:c>
      <x:c r="F6" s="10" t="str">
        <x:v>G-03 Docker write/network/resource/teardown oracle.</x:v>
      </x:c>
      <x:c r="G6" s="136" t="str">
        <x:v>Complete — Docker G-03 x2</x:v>
      </x:c>
      <x:c r="H6" s="10" t="str">
        <x:v>Project</x:v>
      </x:c>
      <x:c r="I6" s="24" t="str">
        <x:v>docs/gamedev/implementation-plan.md#ms-005--docker-linux-containment</x:v>
      </x:c>
    </x:row>
    <x:row r="7" ht="50" customHeight="1">
      <x:c r="A7" s="11" t="str">
        <x:v>MS-006</x:v>
      </x:c>
      <x:c r="B7" s="11" t="n">
        <x:v>5</x:v>
      </x:c>
      <x:c r="C7" s="11" t="str">
        <x:v>Editor and runtime harnesses</x:v>
      </x:c>
      <x:c r="D7" s="11" t="str">
        <x:v>MS-003,MS-005</x:v>
      </x:c>
      <x:c r="E7" s="11" t="str">
        <x:v>Activation/runtime states distinguished; event state machine rejects malformed success; G-04 passes.</x:v>
      </x:c>
      <x:c r="F7" s="11" t="str">
        <x:v>G-04 trusted success/failure fixture oracle.</x:v>
      </x:c>
      <x:c r="G7" s="134" t="str">
        <x:v>Alpha subset; full G-04 pending</x:v>
      </x:c>
      <x:c r="H7" s="11" t="str">
        <x:v>Project</x:v>
      </x:c>
      <x:c r="I7" s="25" t="str">
        <x:v>docs/gamedev/implementation-plan.md#ms-006--redot-editor-and-runtime-harnesses</x:v>
      </x:c>
    </x:row>
    <x:row r="8" ht="50" customHeight="1">
      <x:c r="A8" s="10" t="str">
        <x:v>MS-007</x:v>
      </x:c>
      <x:c r="B8" s="10" t="n">
        <x:v>6</x:v>
      </x:c>
      <x:c r="C8" s="10" t="str">
        <x:v>Deterministic classifier and reports</x:v>
      </x:c>
      <x:c r="D8" s="10" t="str">
        <x:v>MS-006</x:v>
      </x:c>
      <x:c r="E8" s="10" t="str">
        <x:v>Every status tested; hashes/reproduction present; policy skip distinct from tested compatibility.</x:v>
      </x:c>
      <x:c r="F8" s="10" t="str">
        <x:v>Golden JSON/Markdown/schema tests.</x:v>
      </x:c>
      <x:c r="G8" s="134" t="str">
        <x:v>Alpha surface implemented</x:v>
      </x:c>
      <x:c r="H8" s="10" t="str">
        <x:v>Project</x:v>
      </x:c>
      <x:c r="I8" s="24" t="str">
        <x:v>docs/gamedev/implementation-plan.md#ms-007--classifier-and-reports</x:v>
      </x:c>
    </x:row>
    <x:row r="9" ht="50" customHeight="1">
      <x:c r="A9" s="11" t="str">
        <x:v>MS-008</x:v>
      </x:c>
      <x:c r="B9" s="11" t="n">
        <x:v>7</x:v>
      </x:c>
      <x:c r="C9" s="11" t="str">
        <x:v>Godot control differential</x:v>
      </x:c>
      <x:c r="D9" s="11" t="str">
        <x:v>MS-003,MS-007; exact control binaries</x:v>
      </x:c>
      <x:c r="E9" s="11" t="str">
        <x:v>Redot-only, both-engine, control-mismatch, and missing-control outcomes are distinguished; G-05 passes.</x:v>
      </x:c>
      <x:c r="F9" s="11" t="str">
        <x:v>G-05 mirrored real API-gap and differential matrix oracle.</x:v>
      </x:c>
      <x:c r="G9" s="136" t="str">
        <x:v>Complete — G-05 x2</x:v>
      </x:c>
      <x:c r="H9" s="11" t="str">
        <x:v>Project</x:v>
      </x:c>
      <x:c r="I9" s="25" t="str">
        <x:v>docs/gamedev/implementation-plan.md#ms-008--exact-godot-control-differential</x:v>
      </x:c>
    </x:row>
    <x:row r="10" ht="50" customHeight="1">
      <x:c r="A10" s="10" t="str">
        <x:v>MS-009</x:v>
      </x:c>
      <x:c r="B10" s="10" t="n">
        <x:v>8</x:v>
      </x:c>
      <x:c r="C10" s="10" t="str">
        <x:v>Batch and provider completion</x:v>
      </x:c>
      <x:c r="D10" s="10" t="str">
        <x:v>MS-002,MS-007</x:v>
      </x:c>
      <x:c r="E10" s="10" t="str">
        <x:v>Cache reuse, resume, cautious Asset Library/Store, and count integrity.</x:v>
      </x:c>
      <x:c r="F10" s="10" t="str">
        <x:v>Provider contract fixtures and aggregate reconciliation.</x:v>
      </x:c>
      <x:c r="G10" s="135" t="str">
        <x:v>Partial</x:v>
      </x:c>
      <x:c r="H10" s="10" t="str">
        <x:v>Project</x:v>
      </x:c>
      <x:c r="I10" s="24" t="str">
        <x:v>docs/gamedev/implementation-plan.md#ms-009--batch-and-provider-completion</x:v>
      </x:c>
    </x:row>
    <x:row r="11" ht="50" customHeight="1">
      <x:c r="A11" s="11" t="str">
        <x:v>MS-010</x:v>
      </x:c>
      <x:c r="B11" s="11" t="n">
        <x:v>9</x:v>
      </x:c>
      <x:c r="C11" s="11" t="str">
        <x:v>Export and platform hardening</x:v>
      </x:c>
      <x:c r="D11" s="11" t="str">
        <x:v>MS-005-MS-009</x:v>
      </x:c>
      <x:c r="E11" s="11" t="str">
        <x:v>Platform scope preserved; native dependencies inspected; release artifacts reproducible; G-06 passes.</x:v>
      </x:c>
      <x:c r="F11" s="11" t="str">
        <x:v>G-06 platform, accessibility, performance, SBOM, and release dry run.</x:v>
      </x:c>
      <x:c r="G11" s="135" t="str">
        <x:v>Alpha dry run - 1.0 blocked</x:v>
      </x:c>
      <x:c r="H11" s="11" t="str">
        <x:v>Project</x:v>
      </x:c>
      <x:c r="I11" s="25" t="str">
        <x:v>docs/gamedev/implementation-plan.md#ms-010--export-platform-hardening-and-version-10-release</x:v>
      </x:c>
    </x:row>
    <x:row r="12" ht="50" customHeight="1">
      <x:c r="A12" s="10" t="str">
        <x:v>MS-011</x:v>
      </x:c>
      <x:c r="B12" s="10" t="n">
        <x:v>10</x:v>
      </x:c>
      <x:c r="C12" s="10" t="str">
        <x:v>Optional trusted build adapters</x:v>
      </x:c>
      <x:c r="D12" s="10" t="str">
        <x:v>Stable core tester</x:v>
      </x:c>
      <x:c r="E12" s="10" t="str">
        <x:v>Explicit trust; isolated allowlisted toolchains; exact binding/API locks.</x:v>
      </x:c>
      <x:c r="F12" s="10" t="str">
        <x:v>Trusted redot-cpp and Rust custom-JSON fixtures.</x:v>
      </x:c>
      <x:c r="G12" s="136" t="str">
        <x:v>Optional; Mono proven x2</x:v>
      </x:c>
      <x:c r="H12" s="10" t="str">
        <x:v>Project</x:v>
      </x:c>
      <x:c r="I12" s="24" t="str">
        <x:v>docs/gamedev/implementation-plan.md#ms-011--optional-trusted-build-adapters</x:v>
      </x:c>
    </x:row>
  </x:sheetData>
  <x:pageMargins left="0.7" right="0.7" top="0.75" bottom="0.75" header="0.3" footer="0.3"/>
  <x:tableParts count="1">
    <x:tablePart xmlns:r="http://schemas.openxmlformats.org/officeDocument/2006/relationships" r:id="R21441fd6f2eb48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hidden="0" customWidth="1"/>
    <x:col min="2" max="2" width="27" hidden="0" customWidth="1"/>
    <x:col min="3" max="3" width="24" hidden="0" customWidth="1"/>
    <x:col min="4" max="4" width="52" hidden="0" customWidth="1"/>
    <x:col min="5" max="5" width="54" hidden="0" customWidth="1"/>
    <x:col min="6" max="6" width="44" hidden="0" customWidth="1"/>
    <x:col min="7" max="7" width="42" hidden="0" customWidth="1"/>
    <x:col min="8" max="8" width="13" hidden="0" customWidth="1"/>
    <x:col min="9" max="9" width="46" hidden="0" customWidth="1"/>
  </x:cols>
  <x:sheetData>
    <x:row r="1" ht="30" customHeight="1">
      <x:c r="A1" s="9" t="str">
        <x:v>ID</x:v>
      </x:c>
      <x:c r="B1" s="9" t="str">
        <x:v>Date Time</x:v>
      </x:c>
      <x:c r="C1" s="9" t="str">
        <x:v>Plan Task</x:v>
      </x:c>
      <x:c r="D1" s="9" t="str">
        <x:v>Summary</x:v>
      </x:c>
      <x:c r="E1" s="9" t="str">
        <x:v>Files</x:v>
      </x:c>
      <x:c r="F1" s="9" t="str">
        <x:v>Commit</x:v>
      </x:c>
      <x:c r="G1" s="9" t="str">
        <x:v>Validation</x:v>
      </x:c>
      <x:c r="H1" s="9" t="str">
        <x:v>Result</x:v>
      </x:c>
      <x:c r="I1" s="9" t="str">
        <x:v>Notes</x:v>
      </x:c>
    </x:row>
    <x:row r="2" ht="50" customHeight="1">
      <x:c r="A2" s="10" t="str">
        <x:v>BLD-001</x:v>
      </x:c>
      <x:c r="B2" s="22" t="n">
        <x:v>46244.78125</x:v>
      </x:c>
      <x:c r="C2" s="10" t="str">
        <x:v>Preflight inventory</x:v>
      </x:c>
      <x:c r="D2" s="10" t="str">
        <x:v>Confirmed the supplied plan was the only product file before research.</x:v>
      </x:c>
      <x:c r="E2" s="10" t="str">
        <x:v>plugins/compatester</x:v>
      </x:c>
      <x:c r="F2" s="10" t="str">
        <x:v>N/A</x:v>
      </x:c>
      <x:c r="G2" s="10" t="str">
        <x:v>Recursive file inventory and nested AGENTS check</x:v>
      </x:c>
      <x:c r="H2" s="13" t="str">
        <x:v>PASS</x:v>
      </x:c>
      <x:c r="I2" s="10" t="str">
        <x:v>No project.godot or existing workbook.</x:v>
      </x:c>
    </x:row>
    <x:row r="3" ht="50" customHeight="1">
      <x:c r="A3" s="11" t="str">
        <x:v>BLD-002</x:v>
      </x:c>
      <x:c r="B3" s="23" t="n">
        <x:v>46244.788194444445</x:v>
      </x:c>
      <x:c r="C3" s="11" t="str">
        <x:v>Engine identity</x:v>
      </x:c>
      <x:c r="D3" s="11" t="str">
        <x:v>Resolved REDOT_BIN and recorded product/version hashes.</x:v>
      </x:c>
      <x:c r="E3" s="11" t="str">
        <x:v>.codex/redot.env; .tools/redot/26.2-stable-windows</x:v>
      </x:c>
      <x:c r="F3" s="11" t="str">
        <x:v>4f5b14abade2239104847d03d8f9056e4467cfcd</x:v>
      </x:c>
      <x:c r="G3" s="11" t="str">
        <x:v>--version, --help, SHA-256</x:v>
      </x:c>
      <x:c r="H3" s="13" t="str">
        <x:v>PASS</x:v>
      </x:c>
      <x:c r="I3" s="11" t="str">
        <x:v>Export template digest matches official release.</x:v>
      </x:c>
    </x:row>
    <x:row r="4" ht="50" customHeight="1">
      <x:c r="A4" s="10" t="str">
        <x:v>BLD-003</x:v>
      </x:c>
      <x:c r="B4" s="22" t="n">
        <x:v>46244.79583333333</x:v>
      </x:c>
      <x:c r="C4" s="10" t="str">
        <x:v>Milestone 2 preflight</x:v>
      </x:c>
      <x:c r="D4" s="10" t="str">
        <x:v>Attempted fresh headless API dump with bounded quit.</x:v>
      </x:c>
      <x:c r="E4" s="10" t="str">
        <x:v>.preflight-work/redot-api-dump</x:v>
      </x:c>
      <x:c r="F4" s="10" t="str">
        <x:v>N/A</x:v>
      </x:c>
      <x:c r="G4" s="10" t="str">
        <x:v>--headless --dump-extension-api --quit-after 2</x:v>
      </x:c>
      <x:c r="H4" s="21" t="str">
        <x:v>FAIL</x:v>
      </x:c>
      <x:c r="I4" s="10" t="str">
        <x:v>Signal 11; no output file.</x:v>
      </x:c>
    </x:row>
    <x:row r="5" ht="50" customHeight="1">
      <x:c r="A5" s="11" t="str">
        <x:v>BLD-004</x:v>
      </x:c>
      <x:c r="B5" s="23" t="n">
        <x:v>46244.79652777778</x:v>
      </x:c>
      <x:c r="C5" s="11" t="str">
        <x:v>Milestone 2 preflight</x:v>
      </x:c>
      <x:c r="D5" s="11" t="str">
        <x:v>Retried fresh windowed API dump once with bounded quit.</x:v>
      </x:c>
      <x:c r="E5" s="11" t="str">
        <x:v>.preflight-work/redot-api-dump-windowed</x:v>
      </x:c>
      <x:c r="F5" s="11" t="str">
        <x:v>N/A</x:v>
      </x:c>
      <x:c r="G5" s="11" t="str">
        <x:v>--dump-extension-api --quit-after 2</x:v>
      </x:c>
      <x:c r="H5" s="21" t="str">
        <x:v>FAIL</x:v>
      </x:c>
      <x:c r="I5" s="11" t="str">
        <x:v>Native exit -1073741819; signal 11; no output file.</x:v>
      </x:c>
    </x:row>
    <x:row r="6" ht="50" customHeight="1">
      <x:c r="A6" s="10" t="str">
        <x:v>BLD-005</x:v>
      </x:c>
      <x:c r="B6" s="22" t="n">
        <x:v>46244.8</x:v>
      </x:c>
      <x:c r="C6" s="10" t="str">
        <x:v>API material</x:v>
      </x:c>
      <x:c r="D6" s="10" t="str">
        <x:v>Downloaded exact tagged Redot 26.2 extension API JSON.</x:v>
      </x:c>
      <x:c r="E6" s="10" t="str">
        <x:v>docs/gamedev/references/redot-26.2-extension-api.json</x:v>
      </x:c>
      <x:c r="F6" s="10" t="str">
        <x:v>598ec78e86b2c240a023f6de13daba70f7de8610</x:v>
      </x:c>
      <x:c r="G6" s="10" t="str">
        <x:v>JSON parse, header/count check, SHA-256</x:v>
      </x:c>
      <x:c r="H6" s="13" t="str">
        <x:v>PASS</x:v>
      </x:c>
      <x:c r="I6" s="10" t="str">
        <x:v>Downloaded data was not executed.</x:v>
      </x:c>
    </x:row>
    <x:row r="7" ht="50" customHeight="1">
      <x:c r="A7" s="11" t="str">
        <x:v>BLD-006</x:v>
      </x:c>
      <x:c r="B7" s="23" t="n">
        <x:v>46244.80138888889</x:v>
      </x:c>
      <x:c r="C7" s="11" t="str">
        <x:v>API evidence</x:v>
      </x:c>
      <x:c r="D7" s="11" t="str">
        <x:v>Compared tagged Redot JSON to workspace cache by canonicalized top-level sections.</x:v>
      </x:c>
      <x:c r="E7" s="11" t="str">
        <x:v>docs/gamedev/references/redot-26.2-extension-api.json; .codex/cache/redot-extension-api.json</x:v>
      </x:c>
      <x:c r="F7" s="11" t="str">
        <x:v>N/A</x:v>
      </x:c>
      <x:c r="G7" s="11" t="str">
        <x:v>Section hashes</x:v>
      </x:c>
      <x:c r="H7" s="13" t="str">
        <x:v>PASS</x:v>
      </x:c>
      <x:c r="I7" s="11" t="str">
        <x:v>All compared bodies equal; build labels differ.</x:v>
      </x:c>
    </x:row>
    <x:row r="8" ht="50" customHeight="1">
      <x:c r="A8" s="10" t="str">
        <x:v>BLD-007</x:v>
      </x:c>
      <x:c r="B8" s="22" t="n">
        <x:v>46244.802777777775</x:v>
      </x:c>
      <x:c r="C8" s="10" t="str">
        <x:v>Control material</x:v>
      </x:c>
      <x:c r="D8" s="10" t="str">
        <x:v>Downloaded clearly labeled Godot 4.5.0 stable API reference.</x:v>
      </x:c>
      <x:c r="E8" s="10" t="str">
        <x:v>docs/gamedev/references/godot-4.5-extension-api.json</x:v>
      </x:c>
      <x:c r="F8" s="10" t="str">
        <x:v>e83fd0904c13356ed1d4c3d09f8bb9132bdc6b77</x:v>
      </x:c>
      <x:c r="G8" s="10" t="str">
        <x:v>JSON parse, header check, SHA-256</x:v>
      </x:c>
      <x:c r="H8" s="13" t="str">
        <x:v>PASS</x:v>
      </x:c>
      <x:c r="I8" s="10" t="str">
        <x:v>Not an exact 4.5.2 control.</x:v>
      </x:c>
    </x:row>
    <x:row r="9" ht="50" customHeight="1">
      <x:c r="A9" s="11" t="str">
        <x:v>BLD-008</x:v>
      </x:c>
      <x:c r="B9" s="23" t="n">
        <x:v>46244.80416666667</x:v>
      </x:c>
      <x:c r="C9" s="11" t="str">
        <x:v>Evidence audit</x:v>
      </x:c>
      <x:c r="D9" s="11" t="str">
        <x:v>Completed two labeled same-reviewer adversarial passes.</x:v>
      </x:c>
      <x:c r="E9" s="11" t="str">
        <x:v>docs/gamedev/references/evidence-audit.md</x:v>
      </x:c>
      <x:c r="F9" s="11" t="str">
        <x:v>N/A</x:v>
      </x:c>
      <x:c r="G9" s="11" t="str">
        <x:v>Required fields and retained failures checked</x:v>
      </x:c>
      <x:c r="H9" s="13" t="str">
        <x:v>PASS</x:v>
      </x:c>
      <x:c r="I9" s="11" t="str">
        <x:v>No independent-review claim.</x:v>
      </x:c>
    </x:row>
    <x:row r="10" ht="50" customHeight="1">
      <x:c r="A10" s="10" t="str">
        <x:v>BLD-009</x:v>
      </x:c>
      <x:c r="B10" s="22" t="n">
        <x:v>46244.80694444444</x:v>
      </x:c>
      <x:c r="C10" s="10" t="str">
        <x:v>Preflight bundle</x:v>
      </x:c>
      <x:c r="D10" s="10" t="str">
        <x:v>Assembled report, query log, evidence records, API material, and workbook.</x:v>
      </x:c>
      <x:c r="E10" s="10" t="str">
        <x:v>docs/gamedev</x:v>
      </x:c>
      <x:c r="F10" s="10" t="str">
        <x:v>N/A</x:v>
      </x:c>
      <x:c r="G10" s="10" t="str">
        <x:v>Artifact existence, workbook render/inspect/error scan</x:v>
      </x:c>
      <x:c r="H10" s="13" t="str">
        <x:v>PASS</x:v>
      </x:c>
      <x:c r="I10" s="10" t="str">
        <x:v>Research-only; implementation not started.</x:v>
      </x:c>
    </x:row>
    <x:row r="11" ht="48" customHeight="1">
      <x:c r="A11" s="100" t="str">
        <x:v>BLD-010</x:v>
      </x:c>
      <x:c r="B11" s="101" t="n">
        <x:v>46244.825</x:v>
      </x:c>
      <x:c r="C11" s="100" t="str">
        <x:v>Implementation planning</x:v>
      </x:c>
      <x:c r="D11" s="100" t="str">
        <x:v>Converted the source draft and preflight into the canonical full implementation plan and synchronized the workbook.</x:v>
      </x:c>
      <x:c r="E11" s="100" t="str">
        <x:v>docs/gamedev/implementation-plan.md; docs/gamedev/source-of-truth.xlsx</x:v>
      </x:c>
      <x:c r="F11" s="100" t="str">
        <x:v>N/A</x:v>
      </x:c>
      <x:c r="G11" s="100" t="str">
        <x:v>14 sections, 95 unique tasks, 20 decisions, 15 risks, 6 Gauntlets, links/formulas/renders</x:v>
      </x:c>
      <x:c r="H11" s="102" t="str">
        <x:v>PASS</x:v>
      </x:c>
      <x:c r="I11" s="100" t="str">
        <x:v>Planning only; implementation has not started.</x:v>
      </x:c>
    </x:row>
    <x:row r="12" ht="66" customHeight="1">
      <x:c r="A12" s="103" t="str">
        <x:v>BLD-011</x:v>
      </x:c>
      <x:c r="B12" s="109" t="n">
        <x:v>46244.885416666664</x:v>
      </x:c>
      <x:c r="C12" s="103" t="str">
        <x:v>MS-001 repository/contracts</x:v>
      </x:c>
      <x:c r="D12" s="103" t="str">
        <x:v>Created the typed Python package, strict public models/schemas, CLI, configuration, security docs, and MIT/GitHub community files.</x:v>
      </x:c>
      <x:c r="E12" s="103" t="str">
        <x:v>src; schemas; pyproject.toml; README.md; LICENSE; .github</x:v>
      </x:c>
      <x:c r="F12" s="103" t="str">
        <x:v>N/A (local)</x:v>
      </x:c>
      <x:c r="G12" s="103" t="str">
        <x:v>version/schema checks, ruff, mypy, unit tests</x:v>
      </x:c>
      <x:c r="H12" s="137" t="str">
        <x:v>PASS</x:v>
      </x:c>
      <x:c r="I12" s="103" t="str">
        <x:v>Version remains 0.1.0 alpha while mandatory gates are blocked.</x:v>
      </x:c>
    </x:row>
    <x:row r="13" ht="66" customHeight="1">
      <x:c r="A13" s="103" t="str">
        <x:v>BLD-012</x:v>
      </x:c>
      <x:c r="B13" s="109" t="n">
        <x:v>46244.885416666664</x:v>
      </x:c>
      <x:c r="C13" s="103" t="str">
        <x:v>MS-002 static vertical slice</x:v>
      </x:c>
      <x:c r="D13" s="103" t="str">
        <x:v>Implemented immutable/local acquisition, hostile-archive defenses, package inventory, baseline policy, static reports, and bounded batch isolation.</x:v>
      </x:c>
      <x:c r="E13" s="103" t="str">
        <x:v>src/redot_compat/archive; sources; inspect; batch; reports</x:v>
      </x:c>
      <x:c r="F13" s="103" t="str">
        <x:v>N/A (local)</x:v>
      </x:c>
      <x:c r="G13" s="103" t="str">
        <x:v>G-01 release-run-1 and release-run-2</x:v>
      </x:c>
      <x:c r="H13" s="137" t="str">
        <x:v>PASS</x:v>
      </x:c>
      <x:c r="I13" s="103" t="str">
        <x:v>Both clean runs passed; canonical fixture source hash is retained in reports.</x:v>
      </x:c>
    </x:row>
    <x:row r="14" ht="66" customHeight="1">
      <x:c r="A14" s="103" t="str">
        <x:v>BLD-013</x:v>
      </x:c>
      <x:c r="B14" s="109" t="n">
        <x:v>46244.885416666664</x:v>
      </x:c>
      <x:c r="C14" s="103" t="str">
        <x:v>MS-003/MS-006 engine and harness</x:v>
      </x:c>
      <x:c r="D14" s="103" t="str">
        <x:v>Implemented engine doctor/API indexing and typed editor/runtime harnesses with isolated state, bounded logs, sentinels, and trusted-host consent gates.</x:v>
      </x:c>
      <x:c r="E14" s="103" t="str">
        <x:v>src/redot_compat/engines; testing; runner; harness</x:v>
      </x:c>
      <x:c r="F14" s="103" t="str">
        <x:v>N/A (local)</x:v>
      </x:c>
      <x:c r="G14" s="103" t="str">
        <x:v>Redot import/editor/runtime smoke and GDScript validation</x:v>
      </x:c>
      <x:c r="H14" s="137" t="str">
        <x:v>PASS</x:v>
      </x:c>
      <x:c r="I14" s="103" t="str">
        <x:v>Trusted Windows fixtures only; no untrusted-host security claim.</x:v>
      </x:c>
    </x:row>
    <x:row r="15" ht="66" customHeight="1">
      <x:c r="A15" s="103" t="str">
        <x:v>BLD-014</x:v>
      </x:c>
      <x:c r="B15" s="109" t="n">
        <x:v>46244.885416666664</x:v>
      </x:c>
      <x:c r="C15" s="103" t="str">
        <x:v>MS-007 classifier/reproduction</x:v>
      </x:c>
      <x:c r="D15" s="103" t="str">
        <x:v>Implemented ordered classifications, API diffs, authoritative JSON/Markdown/Codex outputs, replay scripts, generic engine-error handling, and warning-safe inconclusive results.</x:v>
      </x:c>
      <x:c r="E15" s="103" t="str">
        <x:v>src/redot_compat/classify; logs; reports</x:v>
      </x:c>
      <x:c r="F15" s="103" t="str">
        <x:v>N/A (local)</x:v>
      </x:c>
      <x:c r="G15" s="103" t="str">
        <x:v>full suite plus generated PowerShell replay</x:v>
      </x:c>
      <x:c r="H15" s="137" t="str">
        <x:v>PASS</x:v>
      </x:c>
      <x:c r="I15" s="103" t="str">
        <x:v>Replay reproduced the exact source SHA-256 and all three phase outcomes.</x:v>
      </x:c>
    </x:row>
    <x:row r="16" ht="66" customHeight="1">
      <x:c r="A16" s="103" t="str">
        <x:v>BLD-015</x:v>
      </x:c>
      <x:c r="B16" s="109" t="n">
        <x:v>46244.885416666664</x:v>
      </x:c>
      <x:c r="C16" s="103" t="str">
        <x:v>MS-010 alpha release dry run</x:v>
      </x:c>
      <x:c r="D16" s="103" t="str">
        <x:v>Built wheel/sdist; clean-installed the wheel; verified bundled harnesses; generated SBOM, license/vulnerability inventories, checksums, and readiness evidence.</x:v>
      </x:c>
      <x:c r="E16" s="103" t="str">
        <x:v>dist; release; docker; docs/release</x:v>
      </x:c>
      <x:c r="F16" s="103" t="str">
        <x:v>N/A (local)</x:v>
      </x:c>
      <x:c r="G16" s="103" t="str">
        <x:v>clean Python 3.14 install and package-level Redot smoke</x:v>
      </x:c>
      <x:c r="H16" s="137" t="str">
        <x:v>PASS</x:v>
      </x:c>
      <x:c r="I16" s="103" t="str">
        <x:v>Zero known vulnerabilities and zero unresolved license declarations; publishing is not authorized.</x:v>
      </x:c>
    </x:row>
    <x:row r="17" ht="66" customHeight="1">
      <x:c r="A17" s="103" t="str">
        <x:v>BLD-016</x:v>
      </x:c>
      <x:c r="B17" s="109" t="n">
        <x:v>46244.885416666664</x:v>
      </x:c>
      <x:c r="C17" s="103" t="str">
        <x:v>MS-004/MS-005 containment gate</x:v>
      </x:c>
      <x:c r="D17" s="103" t="str">
        <x:v>Implemented kill-on-close Windows Job ownership plus a hardened non-root Docker worker with controller heartbeat teardown.</x:v>
      </x:c>
      <x:c r="E17" s="103" t="str">
        <x:v>src/redot_compat/runner; src/redot_compat/sandbox; docker; tests/gauntlet/test_containment_oracle.py</x:v>
      </x:c>
      <x:c r="F17" s="103" t="str">
        <x:v>redot-compat-worker@sha256:3e7f1dcfa10a2fdafe5ffc44bd78ba623899b9add88fd0f7dc079dd83108c9d2</x:v>
      </x:c>
      <x:c r="G17" s="103" t="str">
        <x:v>G-03 run-8 and run-9</x:v>
      </x:c>
      <x:c r="H17" s="137" t="str">
        <x:v>PASS</x:v>
      </x:c>
      <x:c r="I17" s="103" t="str">
        <x:v>Both host and Docker profiles passed twice; trusted host is not a filesystem/network sandbox and hostile native work still needs stronger isolation.</x:v>
      </x:c>
    </x:row>
    <x:row r="18" ht="66" customHeight="1">
      <x:c r="A18" s="103" t="str">
        <x:v>BLD-017</x:v>
      </x:c>
      <x:c r="B18" s="109" t="n">
        <x:v>46244.885416666664</x:v>
      </x:c>
      <x:c r="C18" s="103" t="str">
        <x:v>MS-003/MS-008 exact-engine gates</x:v>
      </x:c>
      <x:c r="D18" s="103" t="str">
        <x:v>Rehydrated verified Redot 26.2, Godot 4.5.2 control, and Redot 26.2 Mono archives; added deterministic snapshots and exact differential execution.</x:v>
      </x:c>
      <x:c r="E18" s="103" t="str">
        <x:v>src/redot_compat/engines; src/redot_compat/testing; tests/gauntlet/test_engine_snapshot_oracle.py; tests/gauntlet/test_differential_oracle.py</x:v>
      </x:c>
      <x:c r="F18" s="103" t="str">
        <x:v>N/A (local engines retained outside repository)</x:v>
      </x:c>
      <x:c r="G18" s="103" t="str">
        <x:v>G-02 x2; G-05 x2; Mono x2</x:v>
      </x:c>
      <x:c r="H18" s="137" t="str">
        <x:v>PASS</x:v>
      </x:c>
      <x:c r="I18" s="103" t="str">
        <x:v>No engine binary is redistributed; identities and hashes are frozen in docs/gamedev/references/gate-closure-evidence.md.</x:v>
      </x:c>
    </x:row>
  </x:sheetData>
  <x:pageMargins left="0.7" right="0.7" top="0.75" bottom="0.75" header="0.3" footer="0.3"/>
  <x:tableParts count="1">
    <x:tablePart xmlns:r="http://schemas.openxmlformats.org/officeDocument/2006/relationships" r:id="Rc011b5ccea434e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hidden="0" customWidth="1"/>
    <x:col min="2" max="2" width="27" hidden="0" customWidth="1"/>
    <x:col min="3" max="3" width="23" hidden="0" customWidth="1"/>
    <x:col min="4" max="4" width="38" hidden="0" customWidth="1"/>
    <x:col min="5" max="5" width="32" hidden="0" customWidth="1"/>
    <x:col min="6" max="6" width="46" hidden="0" customWidth="1"/>
    <x:col min="7" max="7" width="52" hidden="0" customWidth="1"/>
    <x:col min="8" max="8" width="52" hidden="0" customWidth="1"/>
    <x:col min="9" max="9" width="13" hidden="0" customWidth="1"/>
    <x:col min="10" max="10" width="13" hidden="0" customWidth="1"/>
    <x:col min="11" max="11" width="14" hidden="0" customWidth="1"/>
  </x:cols>
  <x:sheetData>
    <x:row r="1" ht="30" customHeight="1">
      <x:c r="A1" s="9" t="str">
        <x:v>ID</x:v>
      </x:c>
      <x:c r="B1" s="9" t="str">
        <x:v>Date Time</x:v>
      </x:c>
      <x:c r="C1" s="9" t="str">
        <x:v>Milestone Task</x:v>
      </x:c>
      <x:c r="D1" s="9" t="str">
        <x:v>Test</x:v>
      </x:c>
      <x:c r="E1" s="9" t="str">
        <x:v>Environment</x:v>
      </x:c>
      <x:c r="F1" s="9" t="str">
        <x:v>Expected</x:v>
      </x:c>
      <x:c r="G1" s="9" t="str">
        <x:v>Actual</x:v>
      </x:c>
      <x:c r="H1" s="9" t="str">
        <x:v>Evidence</x:v>
      </x:c>
      <x:c r="I1" s="9" t="str">
        <x:v>Severity</x:v>
      </x:c>
      <x:c r="J1" s="9" t="str">
        <x:v>Status</x:v>
      </x:c>
      <x:c r="K1" s="9" t="str">
        <x:v>Owner</x:v>
      </x:c>
    </x:row>
    <x:row r="2" ht="50" customHeight="1">
      <x:c r="A2" s="10" t="str">
        <x:v>QA-001</x:v>
      </x:c>
      <x:c r="B2" s="22" t="n">
        <x:v>46244.80694444444</x:v>
      </x:c>
      <x:c r="C2" s="10" t="str">
        <x:v>Preflight/AUD-001</x:v>
      </x:c>
      <x:c r="D2" s="10" t="str">
        <x:v>Dual engine identity</x:v>
      </x:c>
      <x:c r="E2" s="10" t="str">
        <x:v>Tagged source + local Windows editor</x:v>
      </x:c>
      <x:c r="F2" s="10" t="str">
        <x:v>Redot 26.2 and Godot 4.5.2 lineage agree.</x:v>
      </x:c>
      <x:c r="G2" s="10" t="str">
        <x:v>All identity sources agree; compatibility behavior remains a separate claim.</x:v>
      </x:c>
      <x:c r="H2" s="10" t="str">
        <x:v>docs/gamedev/references/evidence-audit.md#self_review-pass-1--technical-falsification</x:v>
      </x:c>
      <x:c r="I2" s="10" t="str">
        <x:v>High</x:v>
      </x:c>
      <x:c r="J2" s="13" t="str">
        <x:v>PASS</x:v>
      </x:c>
      <x:c r="K2" s="10" t="str">
        <x:v>Project</x:v>
      </x:c>
    </x:row>
    <x:row r="3" ht="50" customHeight="1">
      <x:c r="A3" s="11" t="str">
        <x:v>QA-002</x:v>
      </x:c>
      <x:c r="B3" s="23" t="n">
        <x:v>46244.80694444444</x:v>
      </x:c>
      <x:c r="C3" s="11" t="str">
        <x:v>MS-003/AUD-002</x:v>
      </x:c>
      <x:c r="D3" s="11" t="str">
        <x:v>Fresh Redot API dump</x:v>
      </x:c>
      <x:c r="E3" s="11" t="str">
        <x:v>Configured Windows editor</x:v>
      </x:c>
      <x:c r="F3" s="11" t="str">
        <x:v>Bounded dump produces extension_api.json.</x:v>
      </x:c>
      <x:c r="G3" s="11" t="str">
        <x:v>Both headless and windowed attempts crashed with signal 11; no file.</x:v>
      </x:c>
      <x:c r="H3" s="11" t="str">
        <x:v>docs/gamedev/references/redot-26.2-engine-evidence.md#fresh-dump-attempts</x:v>
      </x:c>
      <x:c r="I3" s="11" t="str">
        <x:v>Critical</x:v>
      </x:c>
      <x:c r="J3" s="21" t="str">
        <x:v>FAIL</x:v>
      </x:c>
      <x:c r="K3" s="11" t="str">
        <x:v>Project</x:v>
      </x:c>
    </x:row>
    <x:row r="4" ht="50" customHeight="1">
      <x:c r="A4" s="10" t="str">
        <x:v>QA-003</x:v>
      </x:c>
      <x:c r="B4" s="22" t="n">
        <x:v>46244.80694444444</x:v>
      </x:c>
      <x:c r="C4" s="10" t="str">
        <x:v>MS-006/AUD-003</x:v>
      </x:c>
      <x:c r="D4" s="10" t="str">
        <x:v>Harness API presence</x:v>
      </x:c>
      <x:c r="E4" s="10" t="str">
        <x:v>Tagged Redot 26.2 API JSON</x:v>
      </x:c>
      <x:c r="F4" s="10" t="str">
        <x:v>Plugin activation methods are present.</x:v>
      </x:c>
      <x:c r="G4" s="10" t="str">
        <x:v>set_plugin_enabled and is_plugin_enabled are present.</x:v>
      </x:c>
      <x:c r="H4" s="10" t="str">
        <x:v>docs/gamedev/references/redot-26.2-extension-api.json</x:v>
      </x:c>
      <x:c r="I4" s="10" t="str">
        <x:v>High</x:v>
      </x:c>
      <x:c r="J4" s="13" t="str">
        <x:v>PASS</x:v>
      </x:c>
      <x:c r="K4" s="10" t="str">
        <x:v>Project</x:v>
      </x:c>
    </x:row>
    <x:row r="5" ht="50" customHeight="1">
      <x:c r="A5" s="11" t="str">
        <x:v>QA-004</x:v>
      </x:c>
      <x:c r="B5" s="23" t="n">
        <x:v>46244.80694444444</x:v>
      </x:c>
      <x:c r="C5" s="11" t="str">
        <x:v>MS-002/AUD-004</x:v>
      </x:c>
      <x:c r="D5" s="11" t="str">
        <x:v>Marketplace evidence ranking</x:v>
      </x:c>
      <x:c r="E5" s="11" t="str">
        <x:v>Asset Library/Store primary docs</x:v>
      </x:c>
      <x:c r="F5" s="11" t="str">
        <x:v>Marketplace fields are universally strongest.</x:v>
      </x:c>
      <x:c r="G5" s="11" t="str">
        <x:v>Legacy API has weak single version and empty hash; Store is beta/private implementation.</x:v>
      </x:c>
      <x:c r="H5" s="11" t="str">
        <x:v>docs/gamedev/references/evidence-audit.md</x:v>
      </x:c>
      <x:c r="I5" s="11" t="str">
        <x:v>High</x:v>
      </x:c>
      <x:c r="J5" s="21" t="str">
        <x:v>FAIL</x:v>
      </x:c>
      <x:c r="K5" s="11" t="str">
        <x:v>Project</x:v>
      </x:c>
    </x:row>
    <x:row r="6" ht="50" customHeight="1">
      <x:c r="A6" s="10" t="str">
        <x:v>QA-005</x:v>
      </x:c>
      <x:c r="B6" s="22" t="n">
        <x:v>46244.80694444444</x:v>
      </x:c>
      <x:c r="C6" s="10" t="str">
        <x:v>MS-011/AUD-005</x:v>
      </x:c>
      <x:c r="D6" s="10" t="str">
        <x:v>Shared Redot-Rust layer</x:v>
      </x:c>
      <x:c r="E6" s="10" t="str">
        <x:v>Bounded web/repository search</x:v>
      </x:c>
      <x:c r="F6" s="10" t="str">
        <x:v>A maintained shared layer is identifiable.</x:v>
      </x:c>
      <x:c r="G6" s="10" t="str">
        <x:v>No credible layer found; godot-rust custom JSON is the concrete alternative.</x:v>
      </x:c>
      <x:c r="H6" s="10" t="str">
        <x:v>docs/gamedev/references/research-query-log.md</x:v>
      </x:c>
      <x:c r="I6" s="10" t="str">
        <x:v>High</x:v>
      </x:c>
      <x:c r="J6" s="21" t="str">
        <x:v>FAIL</x:v>
      </x:c>
      <x:c r="K6" s="10" t="str">
        <x:v>Project</x:v>
      </x:c>
    </x:row>
    <x:row r="7" ht="50" customHeight="1">
      <x:c r="A7" s="11" t="str">
        <x:v>QA-006</x:v>
      </x:c>
      <x:c r="B7" s="23" t="n">
        <x:v>46244.80694444444</x:v>
      </x:c>
      <x:c r="C7" s="11" t="str">
        <x:v>MS-004/AUD-006</x:v>
      </x:c>
      <x:c r="D7" s="11" t="str">
        <x:v>Windows termination primitive</x:v>
      </x:c>
      <x:c r="E7" s="11" t="str">
        <x:v>Win32/Python docs</x:v>
      </x:c>
      <x:c r="F7" s="11" t="str">
        <x:v>psutil alone provides a race-free full-tree guarantee.</x:v>
      </x:c>
      <x:c r="G7" s="11" t="str">
        <x:v>Job Object kill-on-close is required for the guarantee.</x:v>
      </x:c>
      <x:c r="H7" s="11" t="str">
        <x:v>docs/gamedev/preflight-report.md#windows-trusted-host</x:v>
      </x:c>
      <x:c r="I7" s="11" t="str">
        <x:v>High</x:v>
      </x:c>
      <x:c r="J7" s="21" t="str">
        <x:v>FAIL</x:v>
      </x:c>
      <x:c r="K7" s="11" t="str">
        <x:v>Project</x:v>
      </x:c>
    </x:row>
    <x:row r="8" ht="50" customHeight="1">
      <x:c r="A8" s="10" t="str">
        <x:v>QA-007</x:v>
      </x:c>
      <x:c r="B8" s="22" t="n">
        <x:v>46244.80694444444</x:v>
      </x:c>
      <x:c r="C8" s="10" t="str">
        <x:v>MS-005/AUD-007</x:v>
      </x:c>
      <x:c r="D8" s="10" t="str">
        <x:v>Docker security boundary</x:v>
      </x:c>
      <x:c r="E8" s="10" t="str">
        <x:v>Docker primary docs</x:v>
      </x:c>
      <x:c r="F8" s="10" t="str">
        <x:v>Listed flags fully sandbox hostile native code.</x:v>
      </x:c>
      <x:c r="G8" s="10" t="str">
        <x:v>Flags reduce risk but residual daemon/mount/kernel risk remains.</x:v>
      </x:c>
      <x:c r="H8" s="10" t="str">
        <x:v>docs/gamedev/preflight-report.md#docker-linux-worker</x:v>
      </x:c>
      <x:c r="I8" s="10" t="str">
        <x:v>Critical</x:v>
      </x:c>
      <x:c r="J8" s="21" t="str">
        <x:v>FAIL</x:v>
      </x:c>
      <x:c r="K8" s="10" t="str">
        <x:v>Project</x:v>
      </x:c>
    </x:row>
    <x:row r="9" ht="50" customHeight="1">
      <x:c r="A9" s="11" t="str">
        <x:v>QA-008</x:v>
      </x:c>
      <x:c r="B9" s="23" t="n">
        <x:v>46244.80694444444</x:v>
      </x:c>
      <x:c r="C9" s="11" t="str">
        <x:v>Preflight/AUD-008</x:v>
      </x:c>
      <x:c r="D9" s="11" t="str">
        <x:v>Comparable-tool absence</x:v>
      </x:c>
      <x:c r="E9" s="11" t="str">
        <x:v>Bounded public search</x:v>
      </x:c>
      <x:c r="F9" s="11" t="str">
        <x:v>Global absence can be proven.</x:v>
      </x:c>
      <x:c r="G9" s="11" t="str">
        <x:v>No direct match found, but exhaustive absence cannot be proven.</x:v>
      </x:c>
      <x:c r="H9" s="11" t="str">
        <x:v>docs/gamedev/references/research-query-log.md</x:v>
      </x:c>
      <x:c r="I9" s="11" t="str">
        <x:v>Low</x:v>
      </x:c>
      <x:c r="J9" s="21" t="str">
        <x:v>BLOCKED</x:v>
      </x:c>
      <x:c r="K9" s="11" t="str">
        <x:v>Project</x:v>
      </x:c>
    </x:row>
    <x:row r="10" ht="50" customHeight="1">
      <x:c r="A10" s="10" t="str">
        <x:v>QA-009</x:v>
      </x:c>
      <x:c r="B10" s="22" t="n">
        <x:v>46244.80694444444</x:v>
      </x:c>
      <x:c r="C10" s="10" t="str">
        <x:v>MS-003/AUD-009</x:v>
      </x:c>
      <x:c r="D10" s="10" t="str">
        <x:v>Local editor supply-chain binding</x:v>
      </x:c>
      <x:c r="E10" s="10" t="str">
        <x:v>Local hashes + GitHub release metadata</x:v>
      </x:c>
      <x:c r="F10" s="10" t="str">
        <x:v>Extracted executables are bound to retained official ZIP digest.</x:v>
      </x:c>
      <x:c r="G10" s="10" t="str">
        <x:v>Export template matches; original Windows ZIP is not retained.</x:v>
      </x:c>
      <x:c r="H10" s="10" t="str">
        <x:v>docs/gamedev/references/redot-26.2-engine-evidence.md#identity-and-hashes</x:v>
      </x:c>
      <x:c r="I10" s="10" t="str">
        <x:v>Medium</x:v>
      </x:c>
      <x:c r="J10" s="21" t="str">
        <x:v>BLOCKED</x:v>
      </x:c>
      <x:c r="K10" s="10" t="str">
        <x:v>Project</x:v>
      </x:c>
    </x:row>
    <x:row r="11" ht="50" customHeight="1">
      <x:c r="A11" s="11" t="str">
        <x:v>QA-010</x:v>
      </x:c>
      <x:c r="B11" s="23" t="n">
        <x:v>46244.80694444444</x:v>
      </x:c>
      <x:c r="C11" s="11" t="str">
        <x:v>MS-001/AUD-010</x:v>
      </x:c>
      <x:c r="D11" s="11" t="str">
        <x:v>Dependency release clearance</x:v>
      </x:c>
      <x:c r="E11" s="11" t="str">
        <x:v>Direct project repositories</x:v>
      </x:c>
      <x:c r="F11" s="11" t="str">
        <x:v>Exact runtime/transitive licenses and vulnerabilities are cleared.</x:v>
      </x:c>
      <x:c r="G11" s="11" t="str">
        <x:v>Direct licenses are compatible; lock, transitives, SBOM, and vulnerability scan remain.</x:v>
      </x:c>
      <x:c r="H11" s="11" t="str">
        <x:v>docs/gamedev/preflight-report.md#8-pythontooling-recommendation-and-licenses</x:v>
      </x:c>
      <x:c r="I11" s="11" t="str">
        <x:v>Medium</x:v>
      </x:c>
      <x:c r="J11" s="21" t="str">
        <x:v>BLOCKED</x:v>
      </x:c>
      <x:c r="K11" s="11" t="str">
        <x:v>Project</x:v>
      </x:c>
    </x:row>
    <x:row r="12" ht="50" customHeight="1">
      <x:c r="A12" s="10" t="str">
        <x:v>QA-011</x:v>
      </x:c>
      <x:c r="B12" s="22" t="n">
        <x:v>46244.80694444444</x:v>
      </x:c>
      <x:c r="C12" s="10" t="str">
        <x:v>MS-002/AUD-011</x:v>
      </x:c>
      <x:c r="D12" s="10" t="str">
        <x:v>Tag immutability</x:v>
      </x:c>
      <x:c r="E12" s="10" t="str">
        <x:v>GitHub REST docs</x:v>
      </x:c>
      <x:c r="F12" s="10" t="str">
        <x:v>Tag name alone is immutable artifact identity.</x:v>
      </x:c>
      <x:c r="G12" s="10" t="str">
        <x:v>Full commit resolution and local content hash are required.</x:v>
      </x:c>
      <x:c r="H12" s="10" t="str">
        <x:v>docs/gamedev/preflight-report.md#github</x:v>
      </x:c>
      <x:c r="I12" s="10" t="str">
        <x:v>High</x:v>
      </x:c>
      <x:c r="J12" s="21" t="str">
        <x:v>FAIL</x:v>
      </x:c>
      <x:c r="K12" s="10" t="str">
        <x:v>Project</x:v>
      </x:c>
    </x:row>
    <x:row r="13" ht="50" customHeight="1">
      <x:c r="A13" s="11" t="str">
        <x:v>QA-012</x:v>
      </x:c>
      <x:c r="B13" s="23" t="n">
        <x:v>46244.80694444444</x:v>
      </x:c>
      <x:c r="C13" s="11" t="str">
        <x:v>MS-002/AUD-012</x:v>
      </x:c>
      <x:c r="D13" s="11" t="str">
        <x:v>Python archive defaults</x:v>
      </x:c>
      <x:c r="E13" s="11" t="str">
        <x:v>Python 3.12 docs</x:v>
      </x:c>
      <x:c r="F13" s="11" t="str">
        <x:v>Threat list alone makes extraction safe.</x:v>
      </x:c>
      <x:c r="G13" s="11" t="str">
        <x:v>Explicit filters, preflight, quotas, empty target, and cleanup are required.</x:v>
      </x:c>
      <x:c r="H13" s="11" t="str">
        <x:v>docs/gamedev/preflight-report.md#5-hostile-archive-contract</x:v>
      </x:c>
      <x:c r="I13" s="11" t="str">
        <x:v>Critical</x:v>
      </x:c>
      <x:c r="J13" s="21" t="str">
        <x:v>FAIL</x:v>
      </x:c>
      <x:c r="K13" s="11" t="str">
        <x:v>Project</x:v>
      </x:c>
    </x:row>
    <x:row r="14" ht="50" customHeight="1">
      <x:c r="A14" s="10" t="str">
        <x:v>QA-013</x:v>
      </x:c>
      <x:c r="B14" s="22" t="n">
        <x:v>46244.80694444444</x:v>
      </x:c>
      <x:c r="C14" s="10" t="str">
        <x:v>MS-007/AUD-013</x:v>
      </x:c>
      <x:c r="D14" s="10" t="str">
        <x:v>Baseline policy semantics</x:v>
      </x:c>
      <x:c r="E14" s="10" t="str">
        <x:v>Plan taxonomy and policy</x:v>
      </x:c>
      <x:c r="F14" s="10" t="str">
        <x:v>Baseline skip proves runtime compatibility.</x:v>
      </x:c>
      <x:c r="G14" s="10" t="str">
        <x:v>It only enforces project policy and must remain a distinct status.</x:v>
      </x:c>
      <x:c r="H14" s="10" t="str">
        <x:v>docs/gamedev/preflight-report.md#3-compatibility-evidence-must-be-package-type-specific</x:v>
      </x:c>
      <x:c r="I14" s="10" t="str">
        <x:v>High</x:v>
      </x:c>
      <x:c r="J14" s="21" t="str">
        <x:v>FAIL</x:v>
      </x:c>
      <x:c r="K14" s="10" t="str">
        <x:v>Project</x:v>
      </x:c>
    </x:row>
    <x:row r="15" ht="50" customHeight="1">
      <x:c r="A15" s="11" t="str">
        <x:v>QA-014</x:v>
      </x:c>
      <x:c r="B15" s="23" t="n">
        <x:v>46244.80694444444</x:v>
      </x:c>
      <x:c r="C15" s="11" t="str">
        <x:v>MS-002/AUD-014</x:v>
      </x:c>
      <x:c r="D15" s="11" t="str">
        <x:v>Forgejo contract stability</x:v>
      </x:c>
      <x:c r="E15" s="11" t="str">
        <x:v>Forgejo/Codeberg docs</x:v>
      </x:c>
      <x:c r="F15" s="11" t="str">
        <x:v>Fixed Gitea 1.25 contract is adequate.</x:v>
      </x:c>
      <x:c r="G15" s="11" t="str">
        <x:v>Version/capability probing and per-instance fixtures are required.</x:v>
      </x:c>
      <x:c r="H15" s="11" t="str">
        <x:v>docs/gamedev/preflight-report.md#codebergforgejo</x:v>
      </x:c>
      <x:c r="I15" s="11" t="str">
        <x:v>Medium</x:v>
      </x:c>
      <x:c r="J15" s="21" t="str">
        <x:v>FAIL</x:v>
      </x:c>
      <x:c r="K15" s="11" t="str">
        <x:v>Project</x:v>
      </x:c>
    </x:row>
    <x:row r="16" ht="50" customHeight="1">
      <x:c r="A16" s="10" t="str">
        <x:v>QA-015</x:v>
      </x:c>
      <x:c r="B16" s="22" t="n">
        <x:v>46244.80694444444</x:v>
      </x:c>
      <x:c r="C16" s="10" t="str">
        <x:v>Preflight/AUD-015</x:v>
      </x:c>
      <x:c r="D16" s="10" t="str">
        <x:v>Architecture simplification challenge</x:v>
      </x:c>
      <x:c r="E16" s="10" t="str">
        <x:v>Threat model + alternatives</x:v>
      </x:c>
      <x:c r="F16" s="10" t="str">
        <x:v>A simpler existing product boundary is available.</x:v>
      </x:c>
      <x:c r="G16" s="10" t="str">
        <x:v>External orchestrator plus minimal harnesses remains the smallest coherent boundary.</x:v>
      </x:c>
      <x:c r="H16" s="10" t="str">
        <x:v>docs/gamedev/preflight-report.md#2-architecture-assessment</x:v>
      </x:c>
      <x:c r="I16" s="10" t="str">
        <x:v>Medium</x:v>
      </x:c>
      <x:c r="J16" s="13" t="str">
        <x:v>PASS</x:v>
      </x:c>
      <x:c r="K16" s="10" t="str">
        <x:v>Project</x:v>
      </x:c>
    </x:row>
    <x:row r="17" ht="50" customHeight="1">
      <x:c r="A17" s="11" t="str">
        <x:v>QA-016</x:v>
      </x:c>
      <x:c r="B17" s="23" t="n">
        <x:v>46244.80694444444</x:v>
      </x:c>
      <x:c r="C17" s="11" t="str">
        <x:v>MS-008/AUD-016</x:v>
      </x:c>
      <x:c r="D17" s="11" t="str">
        <x:v>Exact Godot control label</x:v>
      </x:c>
      <x:c r="E17" s="11" t="str">
        <x:v>Bundled Godot API JSON</x:v>
      </x:c>
      <x:c r="F17" s="11" t="str">
        <x:v>Bundled file is exact Godot 4.5.2.</x:v>
      </x:c>
      <x:c r="G17" s="11" t="str">
        <x:v>Header is 4.5.0; it is reference-only.</x:v>
      </x:c>
      <x:c r="H17" s="11" t="str">
        <x:v>docs/gamedev/references/README.md#machine-readable-api-material</x:v>
      </x:c>
      <x:c r="I17" s="11" t="str">
        <x:v>Medium</x:v>
      </x:c>
      <x:c r="J17" s="21" t="str">
        <x:v>FAIL</x:v>
      </x:c>
      <x:c r="K17" s="11" t="str">
        <x:v>Project</x:v>
      </x:c>
    </x:row>
    <x:row r="18" ht="50" customHeight="1">
      <x:c r="A18" s="10" t="str">
        <x:v>QA-017</x:v>
      </x:c>
      <x:c r="B18" s="22" t="n">
        <x:v>46244.80694444444</x:v>
      </x:c>
      <x:c r="C18" s="10" t="str">
        <x:v>Preflight workbook</x:v>
      </x:c>
      <x:c r="D18" s="10" t="str">
        <x:v>Workbook visual and formula validation</x:v>
      </x:c>
      <x:c r="E18" s="10" t="str">
        <x:v>Artifact tool render/inspect</x:v>
      </x:c>
      <x:c r="F18" s="10" t="str">
        <x:v>All nine sheets render; no formula errors.</x:v>
      </x:c>
      <x:c r="G18" s="10" t="str">
        <x:v>All sheets rendered and inspected; formula scan found no errors.</x:v>
      </x:c>
      <x:c r="H18" s="10" t="str">
        <x:v>docs/gamedev/source-of-truth.xlsx</x:v>
      </x:c>
      <x:c r="I18" s="10" t="str">
        <x:v>High</x:v>
      </x:c>
      <x:c r="J18" s="13" t="str">
        <x:v>PASS</x:v>
      </x:c>
      <x:c r="K18" s="10" t="str">
        <x:v>Project</x:v>
      </x:c>
    </x:row>
    <x:row r="19" ht="48" customHeight="1">
      <x:c r="A19" s="100" t="str">
        <x:v>QA-018</x:v>
      </x:c>
      <x:c r="B19" s="101" t="n">
        <x:v>46244.825</x:v>
      </x:c>
      <x:c r="C19" s="100" t="str">
        <x:v>Planning</x:v>
      </x:c>
      <x:c r="D19" s="100" t="str">
        <x:v>Implementation plan and workbook agreement</x:v>
      </x:c>
      <x:c r="E19" s="100" t="str">
        <x:v>Local Markdown plus artifact-tool workbook validation</x:v>
      </x:c>
      <x:c r="F19" s="100" t="str">
        <x:v>Plan has required structure/traceability/gates; workbook reflects confirmed decisions, risks, and current milestone states.</x:v>
      </x:c>
      <x:c r="G19" s="100" t="str">
        <x:v>14 sections, 95 decision-traced tasks, 6 complete Gauntlets, 20 decisions, 15 risks, valid local links, formula and render checks pass.</x:v>
      </x:c>
      <x:c r="H19" s="100" t="str">
        <x:v>docs/gamedev/implementation-plan.md</x:v>
      </x:c>
      <x:c r="I19" s="100" t="str">
        <x:v>High</x:v>
      </x:c>
      <x:c r="J19" s="102" t="str">
        <x:v>PASS</x:v>
      </x:c>
      <x:c r="K19" s="100" t="str">
        <x:v>Project</x:v>
      </x:c>
    </x:row>
    <x:row r="20" ht="72" customHeight="1">
      <x:c r="A20" s="103" t="str">
        <x:v>QA-019</x:v>
      </x:c>
      <x:c r="B20" s="109" t="n">
        <x:v>46244.885416666664</x:v>
      </x:c>
      <x:c r="C20" s="103" t="str">
        <x:v>MS-001</x:v>
      </x:c>
      <x:c r="D20" s="103" t="str">
        <x:v>Full quality suite</x:v>
      </x:c>
      <x:c r="E20" s="103" t="str">
        <x:v>Windows; Python 3.14; locked virtual environment</x:v>
      </x:c>
      <x:c r="F20" s="103" t="str">
        <x:v>Formatting, lint, strict typing, and all automated tests pass without unexplained warnings.</x:v>
      </x:c>
      <x:c r="G20" s="103" t="str">
        <x:v>150 files formatted; ruff clean; mypy clean across 74 source files; 121 passed and 9 capability/platform skips.</x:v>
      </x:c>
      <x:c r="H20" s="103" t="str">
        <x:v>tests; pyproject.toml; uv.lock</x:v>
      </x:c>
      <x:c r="I20" s="103" t="str">
        <x:v>Critical</x:v>
      </x:c>
      <x:c r="J20" s="137" t="str">
        <x:v>PASS</x:v>
      </x:c>
      <x:c r="K20" s="103" t="str">
        <x:v>Project</x:v>
      </x:c>
    </x:row>
    <x:row r="21" ht="72" customHeight="1">
      <x:c r="A21" s="103" t="str">
        <x:v>QA-020</x:v>
      </x:c>
      <x:c r="B21" s="109" t="n">
        <x:v>46244.885416666664</x:v>
      </x:c>
      <x:c r="C21" s="103" t="str">
        <x:v>MS-002/G-01</x:v>
      </x:c>
      <x:c r="D21" s="103" t="str">
        <x:v>Static inspect oracle twice</x:v>
      </x:c>
      <x:c r="E21" s="103" t="str">
        <x:v>Fresh pytest basetemps release-run-1 and release-run-2</x:v>
      </x:c>
      <x:c r="F21" s="103" t="str">
        <x:v>Canonical baseline and hostile archives produce deterministic expected outcomes twice.</x:v>
      </x:c>
      <x:c r="G21" s="103" t="str">
        <x:v>Both runs passed 2/2; canonical source SHA-256 836657c1be4d2b72c4b08f4e84e62febaed21e388ba3b00c851bb4719c15bd66.</x:v>
      </x:c>
      <x:c r="H21" s="103" t="str">
        <x:v>.artifacts/gauntlet/G-01</x:v>
      </x:c>
      <x:c r="I21" s="103" t="str">
        <x:v>Critical</x:v>
      </x:c>
      <x:c r="J21" s="137" t="str">
        <x:v>PASS</x:v>
      </x:c>
      <x:c r="K21" s="103" t="str">
        <x:v>Project</x:v>
      </x:c>
    </x:row>
    <x:row r="22" ht="72" customHeight="1">
      <x:c r="A22" s="103" t="str">
        <x:v>QA-021</x:v>
      </x:c>
      <x:c r="B22" s="109" t="n">
        <x:v>46244.885416666664</x:v>
      </x:c>
      <x:c r="C22" s="103" t="str">
        <x:v>MS-006</x:v>
      </x:c>
      <x:c r="D22" s="103" t="str">
        <x:v>Trusted Redot import/editor/runtime</x:v>
      </x:c>
      <x:c r="E22" s="103" t="str">
        <x:v>Redot 26.2 stable Windows x86_64 outside the Codex filesystem sandbox</x:v>
      </x:c>
      <x:c r="F22" s="103" t="str">
        <x:v>Import, activation, and declarative runtime probes pass with clean bounded logs.</x:v>
      </x:c>
      <x:c r="G22" s="103" t="str">
        <x:v>All 3 phases passed; zero findings and no ERROR/WARNING log lines; engine SHA-256 recorded.</x:v>
      </x:c>
      <x:c r="H22" s="103" t="str">
        <x:v>.artifacts/runtime-smoke-release/result.json</x:v>
      </x:c>
      <x:c r="I22" s="103" t="str">
        <x:v>Critical</x:v>
      </x:c>
      <x:c r="J22" s="137" t="str">
        <x:v>PASS</x:v>
      </x:c>
      <x:c r="K22" s="103" t="str">
        <x:v>Project</x:v>
      </x:c>
    </x:row>
    <x:row r="23" ht="72" customHeight="1">
      <x:c r="A23" s="103" t="str">
        <x:v>QA-022</x:v>
      </x:c>
      <x:c r="B23" s="109" t="n">
        <x:v>46244.885416666664</x:v>
      </x:c>
      <x:c r="C23" s="103" t="str">
        <x:v>MS-007</x:v>
      </x:c>
      <x:c r="D23" s="103" t="str">
        <x:v>Generated reproduction replay</x:v>
      </x:c>
      <x:c r="E23" s="103" t="str">
        <x:v>Generated PowerShell script with installed redot-compat CLI</x:v>
      </x:c>
      <x:c r="F23" s="103" t="str">
        <x:v>Replay preserves command, manifest, classification, phase results, and source identity.</x:v>
      </x:c>
      <x:c r="G23" s="103" t="str">
        <x:v>COMPATIBLE_UNCHANGED reproduced with the exact retained source SHA-256 and 3/3 passing phases.</x:v>
      </x:c>
      <x:c r="H23" s="103" t="str">
        <x:v>.artifacts/reproduction-smoke-release/result.json</x:v>
      </x:c>
      <x:c r="I23" s="103" t="str">
        <x:v>High</x:v>
      </x:c>
      <x:c r="J23" s="137" t="str">
        <x:v>PASS</x:v>
      </x:c>
      <x:c r="K23" s="103" t="str">
        <x:v>Project</x:v>
      </x:c>
    </x:row>
    <x:row r="24" ht="72" customHeight="1">
      <x:c r="A24" s="103" t="str">
        <x:v>QA-023</x:v>
      </x:c>
      <x:c r="B24" s="109" t="n">
        <x:v>46244.885416666664</x:v>
      </x:c>
      <x:c r="C24" s="103" t="str">
        <x:v>MS-001/MS-006</x:v>
      </x:c>
      <x:c r="D24" s="103" t="str">
        <x:v>Clean wheel installation</x:v>
      </x:c>
      <x:c r="E24" s="103" t="str">
        <x:v>Fresh Python 3.14 virtual environment</x:v>
      </x:c>
      <x:c r="F24" s="103" t="str">
        <x:v>Wheel imports, exposes the CLI, bundles both harnesses, inspects statically, and performs the trusted smoke.</x:v>
      </x:c>
      <x:c r="G24" s="103" t="str">
        <x:v>Version 0.1.0; report modules and both harnesses present; baseline exit 10; dynamic phases 3/3 pass.</x:v>
      </x:c>
      <x:c r="H24" s="103" t="str">
        <x:v>dist; .artifacts/clean-install-release-runtime/result.json</x:v>
      </x:c>
      <x:c r="I24" s="103" t="str">
        <x:v>Critical</x:v>
      </x:c>
      <x:c r="J24" s="137" t="str">
        <x:v>PASS</x:v>
      </x:c>
      <x:c r="K24" s="103" t="str">
        <x:v>Project</x:v>
      </x:c>
    </x:row>
    <x:row r="25" ht="72" customHeight="1">
      <x:c r="A25" s="103" t="str">
        <x:v>QA-024</x:v>
      </x:c>
      <x:c r="B25" s="109" t="n">
        <x:v>46244.885416666664</x:v>
      </x:c>
      <x:c r="C25" s="103" t="str">
        <x:v>MS-010</x:v>
      </x:c>
      <x:c r="D25" s="103" t="str">
        <x:v>Dependency and release audit</x:v>
      </x:c>
      <x:c r="E25" s="103" t="str">
        <x:v>Locked 62-package environment and rebuilt wheel/sdist</x:v>
      </x:c>
      <x:c r="F25" s="103" t="str">
        <x:v>No known vulnerabilities or unresolved license declarations; reproducible inventories and checksums exist.</x:v>
      </x:c>
      <x:c r="G25" s="103" t="str">
        <x:v>0 vulnerabilities; 0 unresolved licenses; SPDX SBOM, manifests, readiness record, and SHA256SUMS generated.</x:v>
      </x:c>
      <x:c r="H25" s="103" t="str">
        <x:v>release</x:v>
      </x:c>
      <x:c r="I25" s="103" t="str">
        <x:v>Critical</x:v>
      </x:c>
      <x:c r="J25" s="137" t="str">
        <x:v>PASS</x:v>
      </x:c>
      <x:c r="K25" s="103" t="str">
        <x:v>Project</x:v>
      </x:c>
    </x:row>
    <x:row r="26" ht="72" customHeight="1">
      <x:c r="A26" s="103" t="str">
        <x:v>QA-025</x:v>
      </x:c>
      <x:c r="B26" s="109" t="n">
        <x:v>46244.885416666664</x:v>
      </x:c>
      <x:c r="C26" s="103" t="str">
        <x:v>MS-005/G-03</x:v>
      </x:c>
      <x:c r="D26" s="103" t="str">
        <x:v>Docker containment gate</x:v>
      </x:c>
      <x:c r="E26" s="103" t="str">
        <x:v>Docker Desktop 29.2.1 Linux/WSL2 worker</x:v>
      </x:c>
      <x:c r="F26" s="103" t="str">
        <x:v>Digest-pinned non-root worker passes write/network/resource/process teardown probes twice.</x:v>
      </x:c>
      <x:c r="G26" s="103" t="str">
        <x:v>G-03 run-8 and run-9 passed: no capabilities, no-new-privileges, seccomp, fixed PID/CPU/memory limits, no network/socket, read-only root/input, and controller-death removal.</x:v>
      </x:c>
      <x:c r="H26" s="103" t="str">
        <x:v>.artifacts/gauntlet/G-03/run-8; .artifacts/gauntlet/G-03/run-9</x:v>
      </x:c>
      <x:c r="I26" s="103" t="str">
        <x:v>Critical</x:v>
      </x:c>
      <x:c r="J26" s="137" t="str">
        <x:v>PASS</x:v>
      </x:c>
      <x:c r="K26" s="103" t="str">
        <x:v>Project</x:v>
      </x:c>
    </x:row>
    <x:row r="27" ht="72" customHeight="1">
      <x:c r="A27" s="103" t="str">
        <x:v>QA-026</x:v>
      </x:c>
      <x:c r="B27" s="109" t="n">
        <x:v>46244.885416666664</x:v>
      </x:c>
      <x:c r="C27" s="103" t="str">
        <x:v>MS-008/G-05</x:v>
      </x:c>
      <x:c r="D27" s="103" t="str">
        <x:v>Exact Godot control differential</x:v>
      </x:c>
      <x:c r="E27" s="103" t="str">
        <x:v>Exact Godot 4.5.2 and Redot 26.2 console binaries</x:v>
      </x:c>
      <x:c r="F27" s="103" t="str">
        <x:v>An exact Godot 4.5.2 binary and fresh API snapshot are registered and matched to Redot phases.</x:v>
      </x:c>
      <x:c r="G27" s="103" t="str">
        <x:v>G-05 run-6 and run-7 passed the real PASS/PASS and Redot-fail/control-pass fixtures plus all six classifier matrix rows.</x:v>
      </x:c>
      <x:c r="H27" s="103" t="str">
        <x:v>.artifacts/gauntlet/G-05/run-6; .artifacts/gauntlet/G-05/run-7</x:v>
      </x:c>
      <x:c r="I27" s="103" t="str">
        <x:v>Critical</x:v>
      </x:c>
      <x:c r="J27" s="137" t="str">
        <x:v>PASS</x:v>
      </x:c>
      <x:c r="K27" s="103" t="str">
        <x:v>Project</x:v>
      </x:c>
    </x:row>
    <x:row r="28" ht="72" customHeight="1">
      <x:c r="A28" s="103" t="str">
        <x:v>QA-027</x:v>
      </x:c>
      <x:c r="B28" s="109" t="n">
        <x:v>46244.885416666664</x:v>
      </x:c>
      <x:c r="C28" s="103" t="str">
        <x:v>MS-003/G-02</x:v>
      </x:c>
      <x:c r="D28" s="103" t="str">
        <x:v>Fresh Redot API dump</x:v>
      </x:c>
      <x:c r="E28" s="103" t="str">
        <x:v>Digest-verified clean Redot 26.2 archive</x:v>
      </x:c>
      <x:c r="F28" s="103" t="str">
        <x:v>Two deterministic fresh extension API dumps agree and bind to the tested engine.</x:v>
      </x:c>
      <x:c r="G28" s="103" t="str">
        <x:v>G-02 run-1 and run-2 passed; both isolated snapshots have SHA-256 177E7796166929B2193C9CCE2FD32F59601A0147D0D1E7FE904B94E8F69F6577.</x:v>
      </x:c>
      <x:c r="H28" s="103" t="str">
        <x:v>.artifacts/gauntlet/G-02/run-1; .artifacts/gauntlet/G-02/run-2</x:v>
      </x:c>
      <x:c r="I28" s="103" t="str">
        <x:v>Critical</x:v>
      </x:c>
      <x:c r="J28" s="137" t="str">
        <x:v>PASS</x:v>
      </x:c>
      <x:c r="K28" s="103" t="str">
        <x:v>Project</x:v>
      </x:c>
    </x:row>
    <x:row r="29" ht="72" customHeight="1">
      <x:c r="A29" s="103" t="str">
        <x:v>QA-028</x:v>
      </x:c>
      <x:c r="B29" s="109" t="n">
        <x:v>46244.885416666664</x:v>
      </x:c>
      <x:c r="C29" s="103" t="str">
        <x:v>Implementation workbook</x:v>
      </x:c>
      <x:c r="D29" s="103" t="str">
        <x:v>Workbook reconciliation and visual validation</x:v>
      </x:c>
      <x:c r="E29" s="103" t="str">
        <x:v>Artifact-tool import/export, formula scan, and nine-sheet render</x:v>
      </x:c>
      <x:c r="F29" s="103" t="str">
        <x:v>Implementation evidence, statuses, blockers, and alpha release state are synchronized without formula or layout errors.</x:v>
      </x:c>
      <x:c r="G29" s="103" t="str">
        <x:v>All target ranges inspected; all nine sheets rendered; no spreadsheet formula errors found.</x:v>
      </x:c>
      <x:c r="H29" s="103" t="str">
        <x:v>docs/gamedev/source-of-truth.xlsx</x:v>
      </x:c>
      <x:c r="I29" s="103" t="str">
        <x:v>High</x:v>
      </x:c>
      <x:c r="J29" s="137" t="str">
        <x:v>PASS</x:v>
      </x:c>
      <x:c r="K29" s="103" t="str">
        <x:v>Project</x:v>
      </x:c>
    </x:row>
    <x:row r="30" ht="72" customHeight="1">
      <x:c r="A30" s="103" t="str">
        <x:v>QA-029</x:v>
      </x:c>
      <x:c r="B30" s="109" t="n">
        <x:v>46244.885416666664</x:v>
      </x:c>
      <x:c r="C30" s="103" t="str">
        <x:v>MS-004/G-03</x:v>
      </x:c>
      <x:c r="D30" s="103" t="str">
        <x:v>Windows Job Object controller-death containment</x:v>
      </x:c>
      <x:c r="E30" s="103" t="str">
        <x:v>Windows x86-64 trusted-host runner</x:v>
      </x:c>
      <x:c r="F30" s="103" t="str">
        <x:v>A child and grandchild cannot survive timeout or abrupt controller death.</x:v>
      </x:c>
      <x:c r="G30" s="103" t="str">
        <x:v>Kill-on-close Job ownership passed twice; all owned PIDs disappeared within five seconds and remained absent in two later probes.</x:v>
      </x:c>
      <x:c r="H30" s="103" t="str">
        <x:v>.artifacts/gauntlet/G-03/run-8; .artifacts/gauntlet/G-03/run-9</x:v>
      </x:c>
      <x:c r="I30" s="103" t="str">
        <x:v>Critical</x:v>
      </x:c>
      <x:c r="J30" s="137" t="str">
        <x:v>PASS</x:v>
      </x:c>
      <x:c r="K30" s="103" t="str">
        <x:v>Project</x:v>
      </x:c>
    </x:row>
    <x:row r="31" ht="72" customHeight="1">
      <x:c r="A31" s="103" t="str">
        <x:v>QA-030</x:v>
      </x:c>
      <x:c r="B31" s="109" t="n">
        <x:v>46244.885416666664</x:v>
      </x:c>
      <x:c r="C31" s="103" t="str">
        <x:v>MS-011 optional Mono</x:v>
      </x:c>
      <x:c r="D31" s="103" t="str">
        <x:v>Exact Redot Mono trusted fixture</x:v>
      </x:c>
      <x:c r="E31" s="103" t="str">
        <x:v>Redot 26.2 Mono plus portable .NET SDK 8.0.423</x:v>
      </x:c>
      <x:c r="F31" s="103" t="str">
        <x:v>The minimal C# project restores from the retained local feed, builds, and runs through the exact Mono editor without engine warnings/errors.</x:v>
      </x:c>
      <x:c r="G31" s="103" t="str">
        <x:v>Both final runs passed; runtime 8.0.29 and all archive/executable hashes are retained.</x:v>
      </x:c>
      <x:c r="H31" s="103" t="str">
        <x:v>.artifacts/gates/mono-final/run-1; .artifacts/gates/mono-final/run-2</x:v>
      </x:c>
      <x:c r="I31" s="103" t="str">
        <x:v>High</x:v>
      </x:c>
      <x:c r="J31" s="137" t="str">
        <x:v>PASS</x:v>
      </x:c>
      <x:c r="K31" s="103" t="str">
        <x:v>Project</x:v>
      </x:c>
    </x:row>
  </x:sheetData>
  <x:pageMargins left="0.7" right="0.7" top="0.75" bottom="0.75" header="0.3" footer="0.3"/>
  <x:tableParts count="1">
    <x:tablePart xmlns:r="http://schemas.openxmlformats.org/officeDocument/2006/relationships" r:id="R3a6487bbd1ba46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hidden="0" customWidth="1"/>
    <x:col min="2" max="2" width="13" hidden="0" customWidth="1"/>
    <x:col min="3" max="3" width="22" hidden="0" customWidth="1"/>
    <x:col min="4" max="4" width="48" hidden="0" customWidth="1"/>
    <x:col min="5" max="5" width="48" hidden="0" customWidth="1"/>
    <x:col min="6" max="6" width="58" hidden="0" customWidth="1"/>
    <x:col min="7" max="7" width="14" hidden="0" customWidth="1"/>
    <x:col min="8" max="8" width="13" hidden="0" customWidth="1"/>
    <x:col min="9" max="9" width="24" hidden="0" customWidth="1"/>
    <x:col min="10" max="10" width="52" hidden="0" customWidth="1"/>
  </x:cols>
  <x:sheetData>
    <x:row r="1" ht="30" customHeight="1">
      <x:c r="A1" s="9" t="str">
        <x:v>ID</x:v>
      </x:c>
      <x:c r="B1" s="9" t="str">
        <x:v>Date</x:v>
      </x:c>
      <x:c r="C1" s="9" t="str">
        <x:v>Area</x:v>
      </x:c>
      <x:c r="D1" s="9" t="str">
        <x:v>Risk Question</x:v>
      </x:c>
      <x:c r="E1" s="9" t="str">
        <x:v>Impact</x:v>
      </x:c>
      <x:c r="F1" s="9" t="str">
        <x:v>Mitigation Next Step</x:v>
      </x:c>
      <x:c r="G1" s="9" t="str">
        <x:v>Owner</x:v>
      </x:c>
      <x:c r="H1" s="9" t="str">
        <x:v>Status</x:v>
      </x:c>
      <x:c r="I1" s="9" t="str">
        <x:v>Decision Deadline</x:v>
      </x:c>
      <x:c r="J1" s="9" t="str">
        <x:v>Links</x:v>
      </x:c>
    </x:row>
    <x:row r="2" ht="50" customHeight="1">
      <x:c r="A2" s="10" t="str">
        <x:v>RSK-001</x:v>
      </x:c>
      <x:c r="B2" s="27" t="str">
        <x:v>2026-08-10</x:v>
      </x:c>
      <x:c r="C2" s="10" t="str">
        <x:v>Engine doctor</x:v>
      </x:c>
      <x:c r="D2" s="10" t="str">
        <x:v>Why does Redot 26.2 crash during extension API dump?</x:v>
      </x:c>
      <x:c r="E2" s="10" t="str">
        <x:v>Critical: Milestone 2 reproducibility gate cannot pass.</x:v>
      </x:c>
      <x:c r="F2" s="10" t="str">
        <x:v>The crash did not reproduce from the verified clean archive; two isolated fresh dumps agree. Reject the former installation as provenance evidence.</x:v>
      </x:c>
      <x:c r="G2" s="10" t="str">
        <x:v>Project</x:v>
      </x:c>
      <x:c r="H2" s="136" t="str">
        <x:v>Mitigated</x:v>
      </x:c>
      <x:c r="I2" s="10" t="str">
        <x:v>Before MS-003 closes</x:v>
      </x:c>
      <x:c r="J2" s="24" t="str">
        <x:v>docs/gamedev/references/redot-26.2-engine-evidence.md</x:v>
      </x:c>
    </x:row>
    <x:row r="3" ht="50" customHeight="1">
      <x:c r="A3" s="11" t="str">
        <x:v>RSK-002</x:v>
      </x:c>
      <x:c r="B3" s="26" t="str">
        <x:v>2026-08-10</x:v>
      </x:c>
      <x:c r="C3" s="11" t="str">
        <x:v>Security</x:v>
      </x:c>
      <x:c r="D3" s="11" t="str">
        <x:v>Can dynamic plugin/native execution escape the selected worker?</x:v>
      </x:c>
      <x:c r="E3" s="11" t="str">
        <x:v>Critical: arbitrary code may affect host data or credentials.</x:v>
      </x:c>
      <x:c r="F3" s="11" t="str">
        <x:v>Enabled Docker controls passed G-03 twice. Retain the static-first policy and use disposable-machine isolation for hostile native submissions; Docker is not a universal sandbox.</x:v>
      </x:c>
      <x:c r="G3" s="11" t="str">
        <x:v>Project</x:v>
      </x:c>
      <x:c r="H3" s="135" t="str">
        <x:v>Controlled</x:v>
      </x:c>
      <x:c r="I3" s="11" t="str">
        <x:v>Before MS-005</x:v>
      </x:c>
      <x:c r="J3" s="25" t="str">
        <x:v>docs/gamedev/preflight-report.md#6-execution-containment-and-process-control</x:v>
      </x:c>
    </x:row>
    <x:row r="4" ht="50" customHeight="1">
      <x:c r="A4" s="10" t="str">
        <x:v>RSK-003</x:v>
      </x:c>
      <x:c r="B4" s="27" t="str">
        <x:v>2026-08-10</x:v>
      </x:c>
      <x:c r="C4" s="10" t="str">
        <x:v>Classification</x:v>
      </x:c>
      <x:c r="D4" s="10" t="str">
        <x:v>Will users mistake a baseline-policy skip for tested compatibility?</x:v>
      </x:c>
      <x:c r="E4" s="10" t="str">
        <x:v>High: false confidence and missed packaging/runtime defects.</x:v>
      </x:c>
      <x:c r="F4" s="10" t="str">
        <x:v>Separate policy status, force-test path, schema/report wording, and regression tests are implemented.</x:v>
      </x:c>
      <x:c r="G4" s="10" t="str">
        <x:v>Project</x:v>
      </x:c>
      <x:c r="H4" s="136" t="str">
        <x:v>Mitigated</x:v>
      </x:c>
      <x:c r="I4" s="10" t="str">
        <x:v>Before MS-001 schema freeze</x:v>
      </x:c>
      <x:c r="J4" s="24" t="str">
        <x:v>docs/gamedev/preflight-report.md#3-compatibility-evidence-must-be-package-type-specific</x:v>
      </x:c>
    </x:row>
    <x:row r="5" ht="50" customHeight="1">
      <x:c r="A5" s="11" t="str">
        <x:v>RSK-004</x:v>
      </x:c>
      <x:c r="B5" s="26" t="str">
        <x:v>2026-08-10</x:v>
      </x:c>
      <x:c r="C5" s="11" t="str">
        <x:v>Version evidence</x:v>
      </x:c>
      <x:c r="D5" s="11" t="str">
        <x:v>Could weak marketplace fields override direct native evidence?</x:v>
      </x:c>
      <x:c r="E5" s="11" t="str">
        <x:v>High: wrong port decision for prebuilt/native packages.</x:v>
      </x:c>
      <x:c r="F5" s="11" t="str">
        <x:v>Package-type evidence precedence, conflicts, native selectors, and retained provenance are implemented.</x:v>
      </x:c>
      <x:c r="G5" s="11" t="str">
        <x:v>Project</x:v>
      </x:c>
      <x:c r="H5" s="136" t="str">
        <x:v>Mitigated</x:v>
      </x:c>
      <x:c r="I5" s="11" t="str">
        <x:v>Before MS-002</x:v>
      </x:c>
      <x:c r="J5" s="25" t="str">
        <x:v>docs/gamedev/preflight-report.md#3-compatibility-evidence-must-be-package-type-specific</x:v>
      </x:c>
    </x:row>
    <x:row r="6" ht="50" customHeight="1">
      <x:c r="A6" s="10" t="str">
        <x:v>RSK-005</x:v>
      </x:c>
      <x:c r="B6" s="27" t="str">
        <x:v>2026-08-10</x:v>
      </x:c>
      <x:c r="C6" s="10" t="str">
        <x:v>Process control</x:v>
      </x:c>
      <x:c r="D6" s="10" t="str">
        <x:v>Can descendants survive timeout or controller failure?</x:v>
      </x:c>
      <x:c r="E6" s="10" t="str">
        <x:v>High: orphaned engine/plugin processes and persistent effects.</x:v>
      </x:c>
      <x:c r="F6" s="10" t="str">
        <x:v>Kill-on-close Windows Job ownership and Docker controller heartbeat teardown passed twice, including abrupt controller death.</x:v>
      </x:c>
      <x:c r="G6" s="10" t="str">
        <x:v>Project</x:v>
      </x:c>
      <x:c r="H6" s="136" t="str">
        <x:v>Mitigated</x:v>
      </x:c>
      <x:c r="I6" s="10" t="str">
        <x:v>Before MS-004</x:v>
      </x:c>
      <x:c r="J6" s="24" t="str">
        <x:v>docs/gamedev/preflight-report.md#windows-trusted-host</x:v>
      </x:c>
    </x:row>
    <x:row r="7" ht="50" customHeight="1">
      <x:c r="A7" s="11" t="str">
        <x:v>RSK-006</x:v>
      </x:c>
      <x:c r="B7" s="26" t="str">
        <x:v>2026-08-10</x:v>
      </x:c>
      <x:c r="C7" s="11" t="str">
        <x:v>Providers</x:v>
      </x:c>
      <x:c r="D7" s="11" t="str">
        <x:v>Will GitHub/Forgejo/API drift break immutability or acquisition?</x:v>
      </x:c>
      <x:c r="E7" s="11" t="str">
        <x:v>High: unreproducible or wrong artifacts.</x:v>
      </x:c>
      <x:c r="F7" s="11" t="str">
        <x:v>Immutable GitHub resolution, Codeberg capability discovery, redirects/hashes, and provider contract fixtures are implemented; monitor drift.</x:v>
      </x:c>
      <x:c r="G7" s="11" t="str">
        <x:v>Project</x:v>
      </x:c>
      <x:c r="H7" s="136" t="str">
        <x:v>Mitigated</x:v>
      </x:c>
      <x:c r="I7" s="11" t="str">
        <x:v>Before MS-002</x:v>
      </x:c>
      <x:c r="J7" s="25" t="str">
        <x:v>docs/gamedev/preflight-report.md#4-source-acquisition-contracts</x:v>
      </x:c>
    </x:row>
    <x:row r="8" ht="50" customHeight="1">
      <x:c r="A8" s="10" t="str">
        <x:v>RSK-007</x:v>
      </x:c>
      <x:c r="B8" s="27" t="str">
        <x:v>2026-08-10</x:v>
      </x:c>
      <x:c r="C8" s="10" t="str">
        <x:v>Archives</x:v>
      </x:c>
      <x:c r="D8" s="10" t="str">
        <x:v>Can a hostile archive escape or exhaust the worker?</x:v>
      </x:c>
      <x:c r="E8" s="10" t="str">
        <x:v>High: filesystem damage or denial of service.</x:v>
      </x:c>
      <x:c r="F8" s="10" t="str">
        <x:v>Traversal, link, collision, quota, ratio, CRC, special-file, empty-target, and cleanup defenses pass hostile-archive fixtures.</x:v>
      </x:c>
      <x:c r="G8" s="10" t="str">
        <x:v>Project</x:v>
      </x:c>
      <x:c r="H8" s="136" t="str">
        <x:v>Mitigated</x:v>
      </x:c>
      <x:c r="I8" s="10" t="str">
        <x:v>Before MS-002</x:v>
      </x:c>
      <x:c r="J8" s="24" t="str">
        <x:v>docs/gamedev/preflight-report.md#5-hostile-archive-contract</x:v>
      </x:c>
    </x:row>
    <x:row r="9" ht="50" customHeight="1">
      <x:c r="A9" s="11" t="str">
        <x:v>RSK-008</x:v>
      </x:c>
      <x:c r="B9" s="26" t="str">
        <x:v>2026-08-10</x:v>
      </x:c>
      <x:c r="C9" s="11" t="str">
        <x:v>Rust</x:v>
      </x:c>
      <x:c r="D9" s="11" t="str">
        <x:v>Will godot-rust custom JSON compile and load against Redot 26.2?</x:v>
      </x:c>
      <x:c r="E9" s="11" t="str">
        <x:v>Medium: Rust port recommendation may be wrong.</x:v>
      </x:c>
      <x:c r="F9" s="11" t="str">
        <x:v>Trusted minimal api-custom-json fixture using exact crate/API hashes.</x:v>
      </x:c>
      <x:c r="G9" s="11" t="str">
        <x:v>Project</x:v>
      </x:c>
      <x:c r="H9" s="135" t="str">
        <x:v>Open</x:v>
      </x:c>
      <x:c r="I9" s="11" t="str">
        <x:v>Before MS-011 Rust adapter</x:v>
      </x:c>
      <x:c r="J9" s="25" t="str">
        <x:v>docs/gamedev/preflight-report.md#rust</x:v>
      </x:c>
    </x:row>
    <x:row r="10" ht="50" customHeight="1">
      <x:c r="A10" s="10" t="str">
        <x:v>RSK-009</x:v>
      </x:c>
      <x:c r="B10" s="27" t="str">
        <x:v>2026-08-10</x:v>
      </x:c>
      <x:c r="C10" s="10" t="str">
        <x:v>Supply chain</x:v>
      </x:c>
      <x:c r="D10" s="10" t="str">
        <x:v>Can the current extracted editor be tied to the official archive?</x:v>
      </x:c>
      <x:c r="E10" s="10" t="str">
        <x:v>Medium: incomplete provenance and hard-to-reproduce crashes.</x:v>
      </x:c>
      <x:c r="F10" s="10" t="str">
        <x:v>The retained official archive matches its published digest and binds to the recorded executable and fresh snapshot hashes.</x:v>
      </x:c>
      <x:c r="G10" s="10" t="str">
        <x:v>Project</x:v>
      </x:c>
      <x:c r="H10" s="136" t="str">
        <x:v>Mitigated</x:v>
      </x:c>
      <x:c r="I10" s="10" t="str">
        <x:v>Before MS-003</x:v>
      </x:c>
      <x:c r="J10" s="24" t="str">
        <x:v>docs/gamedev/references/redot-26.2-engine-evidence.md#identity-and-hashes</x:v>
      </x:c>
    </x:row>
    <x:row r="11" ht="50" customHeight="1">
      <x:c r="A11" s="11" t="str">
        <x:v>RSK-010</x:v>
      </x:c>
      <x:c r="B11" s="26" t="str">
        <x:v>2026-08-10</x:v>
      </x:c>
      <x:c r="C11" s="11" t="str">
        <x:v>Platform scope</x:v>
      </x:c>
      <x:c r="D11" s="11" t="str">
        <x:v>Could Linux results be generalized to Windows/macOS?</x:v>
      </x:c>
      <x:c r="E11" s="11" t="str">
        <x:v>Medium: false cross-platform compatibility claim.</x:v>
      </x:c>
      <x:c r="F11" s="11" t="str">
        <x:v>Platform-scoped results and explicit missing-artifact states; aggregate like-for-like evidence only.</x:v>
      </x:c>
      <x:c r="G11" s="11" t="str">
        <x:v>Project</x:v>
      </x:c>
      <x:c r="H11" s="135" t="str">
        <x:v>Open</x:v>
      </x:c>
      <x:c r="I11" s="11" t="str">
        <x:v>Before MS-010</x:v>
      </x:c>
      <x:c r="J11" s="25" t="str">
        <x:v>docs/gamedev/preflight-report.md#12-priority-risks</x:v>
      </x:c>
    </x:row>
    <x:row r="12" ht="48" customHeight="1">
      <x:c r="A12" s="104" t="str">
        <x:v>RSK-011</x:v>
      </x:c>
      <x:c r="B12" s="105" t="n">
        <x:v>46244</x:v>
      </x:c>
      <x:c r="C12" s="104" t="str">
        <x:v>Delivery</x:v>
      </x:c>
      <x:c r="D12" s="104" t="str">
        <x:v>When should calendar milestones be committed without team capacity or budget?</x:v>
      </x:c>
      <x:c r="E12" s="104" t="str">
        <x:v>Medium: dates would be speculative and could distort gate priorities.</x:v>
      </x:c>
      <x:c r="F12" s="104" t="str">
        <x:v>Use dependency gates; size work after the static slice; owner supplies a calendar only with capacity evidence.</x:v>
      </x:c>
      <x:c r="G12" s="104" t="str">
        <x:v>Project</x:v>
      </x:c>
      <x:c r="H12" s="139" t="str">
        <x:v>Open</x:v>
      </x:c>
      <x:c r="I12" s="104" t="str">
        <x:v>Before any date commitment</x:v>
      </x:c>
      <x:c r="J12" s="106" t="str">
        <x:v>docs/gamedev/implementation-plan.md#not-yet-specified</x:v>
      </x:c>
    </x:row>
    <x:row r="13" ht="48" customHeight="1">
      <x:c r="A13" s="100" t="str">
        <x:v>RSK-012</x:v>
      </x:c>
      <x:c r="B13" s="107" t="n">
        <x:v>46244</x:v>
      </x:c>
      <x:c r="C13" s="100" t="str">
        <x:v>Control engine</x:v>
      </x:c>
      <x:c r="D13" s="100" t="str">
        <x:v>Where is the exact Godot 4.5.2 control binary and generated API snapshot?</x:v>
      </x:c>
      <x:c r="E13" s="100" t="str">
        <x:v>High: Redot-specific blame and G-05 cannot be proven.</x:v>
      </x:c>
      <x:c r="F13" s="100" t="str">
        <x:v>Exact Godot 4.5.2 archive, executable, and snapshot hashes are retained; G-05 passed twice.</x:v>
      </x:c>
      <x:c r="G13" s="100" t="str">
        <x:v>Project</x:v>
      </x:c>
      <x:c r="H13" s="138" t="str">
        <x:v>Mitigated</x:v>
      </x:c>
      <x:c r="I13" s="100" t="str">
        <x:v>Before MS-008</x:v>
      </x:c>
      <x:c r="J13" s="108" t="str">
        <x:v>docs/gamedev/implementation-plan.md#g-05--redot-versus-godot-differential-classification</x:v>
      </x:c>
    </x:row>
    <x:row r="14" ht="48" customHeight="1">
      <x:c r="A14" s="104" t="str">
        <x:v>RSK-013</x:v>
      </x:c>
      <x:c r="B14" s="105" t="n">
        <x:v>46244</x:v>
      </x:c>
      <x:c r="C14" s="104" t="str">
        <x:v>.NET</x:v>
      </x:c>
      <x:c r="D14" s="104" t="str">
        <x:v>Where is a proven Redot 26.2 Mono executable?</x:v>
      </x:c>
      <x:c r="E14" s="104" t="str">
        <x:v>Medium: .NET phases cannot be executed or claimed.</x:v>
      </x:c>
      <x:c r="F14" s="104" t="str">
        <x:v>Exact Redot 26.2 Mono and portable .NET SDK identities are retained; the minimal trusted C# fixture passed twice.</x:v>
      </x:c>
      <x:c r="G14" s="104" t="str">
        <x:v>Project</x:v>
      </x:c>
      <x:c r="H14" s="138" t="str">
        <x:v>Mitigated</x:v>
      </x:c>
      <x:c r="I14" s="104" t="str">
        <x:v>Before CT-M9-04</x:v>
      </x:c>
      <x:c r="J14" s="106" t="str">
        <x:v>docs/gamedev/implementation-plan.md#risks-and-open-questions</x:v>
      </x:c>
    </x:row>
    <x:row r="15" ht="48" customHeight="1">
      <x:c r="A15" s="100" t="str">
        <x:v>RSK-014</x:v>
      </x:c>
      <x:c r="B15" s="107" t="n">
        <x:v>46244</x:v>
      </x:c>
      <x:c r="C15" s="100" t="str">
        <x:v>Supply chain</x:v>
      </x:c>
      <x:c r="D15" s="100" t="str">
        <x:v>Do exact locked dependencies and image layers clear license and vulnerability review?</x:v>
      </x:c>
      <x:c r="E15" s="100" t="str">
        <x:v>High: release may ship incompatible or vulnerable transitives.</x:v>
      </x:c>
      <x:c r="F15" s="100" t="str">
        <x:v>The 62-package lock, SPDX SBOM, license review, vulnerability scan, and artifact checksums are clean for this alpha; regenerate for G-06 and every release image.</x:v>
      </x:c>
      <x:c r="G15" s="100" t="str">
        <x:v>Project</x:v>
      </x:c>
      <x:c r="H15" s="139" t="str">
        <x:v>Controlled</x:v>
      </x:c>
      <x:c r="I15" s="100" t="str">
        <x:v>Initial in MS-001; final before release</x:v>
      </x:c>
      <x:c r="J15" s="108" t="str">
        <x:v>docs/gamedev/implementation-plan.md#licensing</x:v>
      </x:c>
    </x:row>
    <x:row r="16" ht="48" customHeight="1">
      <x:c r="A16" s="104" t="str">
        <x:v>RSK-015</x:v>
      </x:c>
      <x:c r="B16" s="105" t="n">
        <x:v>46244</x:v>
      </x:c>
      <x:c r="C16" s="104" t="str">
        <x:v>Release</x:v>
      </x:c>
      <x:c r="D16" s="104" t="str">
        <x:v>Which publication host and signing identity are authorized?</x:v>
      </x:c>
      <x:c r="E16" s="104" t="str">
        <x:v>Medium: external publication and signature cannot be completed safely.</x:v>
      </x:c>
      <x:c r="F16" s="104" t="str">
        <x:v>Metadata targets dominicbytes, but keep Git local until explicit authorization exists for remote creation, push, tag, and release.</x:v>
      </x:c>
      <x:c r="G16" s="104" t="str">
        <x:v>Project</x:v>
      </x:c>
      <x:c r="H16" s="139" t="str">
        <x:v>Open</x:v>
      </x:c>
      <x:c r="I16" s="104" t="str">
        <x:v>Before external release</x:v>
      </x:c>
      <x:c r="J16" s="106" t="str">
        <x:v>docs/gamedev/implementation-plan.md#distribution-gates</x:v>
      </x:c>
    </x:row>
    <x:row r="17" ht="72" customHeight="1">
      <x:c r="A17" s="103" t="str">
        <x:v>RSK-016</x:v>
      </x:c>
      <x:c r="B17" s="110" t="n">
        <x:v>46244</x:v>
      </x:c>
      <x:c r="C17" s="103" t="str">
        <x:v>Docker worker</x:v>
      </x:c>
      <x:c r="D17" s="103" t="str">
        <x:v>Can the digest-pinned worker image prove the documented G-03 containment profile on this host?</x:v>
      </x:c>
      <x:c r="E17" s="103" t="str">
        <x:v>Critical: the worker must not be enabled before its exact profile is proven.</x:v>
      </x:c>
      <x:c r="F17" s="103" t="str">
        <x:v>The final image passed write/network/resource/process/controller-death critics twice; keep residual hostile-native isolation limits explicit.</x:v>
      </x:c>
      <x:c r="G17" s="103" t="str">
        <x:v>Project</x:v>
      </x:c>
      <x:c r="H17" s="137" t="str">
        <x:v>Mitigated</x:v>
      </x:c>
      <x:c r="I17" s="103" t="str">
        <x:v>Closed locally; re-run for each release image</x:v>
      </x:c>
      <x:c r="J17" s="103" t="str">
        <x:v>docs/gamedev/references/gate-closure-evidence.md</x:v>
      </x:c>
    </x:row>
  </x:sheetData>
  <x:pageMargins left="0.7" right="0.7" top="0.75" bottom="0.75" header="0.3" footer="0.3"/>
  <x:tableParts count="1">
    <x:tablePart xmlns:r="http://schemas.openxmlformats.org/officeDocument/2006/relationships" r:id="R107de043fbbb40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hidden="0" customWidth="1"/>
    <x:col min="2" max="2" width="27" hidden="0" customWidth="1"/>
    <x:col min="3" max="3" width="14" hidden="0" customWidth="1"/>
    <x:col min="4" max="4" width="44" hidden="0" customWidth="1"/>
    <x:col min="5" max="5" width="20" hidden="0" customWidth="1"/>
    <x:col min="6" max="6" width="20" hidden="0" customWidth="1"/>
    <x:col min="7" max="7" width="42" hidden="0" customWidth="1"/>
    <x:col min="8" max="8" width="48" hidden="0" customWidth="1"/>
    <x:col min="9" max="9" width="36" hidden="0" customWidth="1"/>
    <x:col min="10" max="10" width="32" hidden="0" customWidth="1"/>
    <x:col min="11" max="11" width="14" hidden="0" customWidth="1"/>
    <x:col min="12" max="12" width="48" hidden="0" customWidth="1"/>
  </x:cols>
  <x:sheetData>
    <x:row r="1" ht="30" customHeight="1">
      <x:c r="A1" s="9" t="str">
        <x:v>ID</x:v>
      </x:c>
      <x:c r="B1" s="9" t="str">
        <x:v>Date Time</x:v>
      </x:c>
      <x:c r="C1" s="9" t="str">
        <x:v>Version</x:v>
      </x:c>
      <x:c r="D1" s="9" t="str">
        <x:v>Commit</x:v>
      </x:c>
      <x:c r="E1" s="9" t="str">
        <x:v>Target</x:v>
      </x:c>
      <x:c r="F1" s="9" t="str">
        <x:v>Preset</x:v>
      </x:c>
      <x:c r="G1" s="9" t="str">
        <x:v>Artifact</x:v>
      </x:c>
      <x:c r="H1" s="9" t="str">
        <x:v>Checksum</x:v>
      </x:c>
      <x:c r="I1" s="9" t="str">
        <x:v>Tests</x:v>
      </x:c>
      <x:c r="J1" s="9" t="str">
        <x:v>Destination</x:v>
      </x:c>
      <x:c r="K1" s="9" t="str">
        <x:v>Status</x:v>
      </x:c>
      <x:c r="L1" s="9" t="str">
        <x:v>Notes</x:v>
      </x:c>
    </x:row>
    <x:row r="2" ht="84" customHeight="1">
      <x:c r="A2" s="103" t="str">
        <x:v>REL-001</x:v>
      </x:c>
      <x:c r="B2" s="109" t="n">
        <x:v>46244.885416666664</x:v>
      </x:c>
      <x:c r="C2" s="103" t="str">
        <x:v>0.1.0</x:v>
      </x:c>
      <x:c r="D2" s="103" t="str">
        <x:v>No commit yet</x:v>
      </x:c>
      <x:c r="E2" s="103" t="str">
        <x:v>Alpha dry run</x:v>
      </x:c>
      <x:c r="F2" s="103" t="str">
        <x:v>Python wheel + sdist</x:v>
      </x:c>
      <x:c r="G2" s="103" t="str">
        <x:v>dist/redot_plugin_compatibility_tester-0.1.0-py3-none-any.whl; dist/redot_plugin_compatibility_tester-0.1.0.tar.gz</x:v>
      </x:c>
      <x:c r="H2" s="103" t="str">
        <x:v>release/SHA256SUMS</x:v>
      </x:c>
      <x:c r="I2" s="103" t="str">
        <x:v>121 passed; 9 skipped; G-02/G-03/G-05/Mono x2; clean wheel and release audit pass</x:v>
      </x:c>
      <x:c r="J2" s="103" t="str">
        <x:v>github.com/dominicbytes/redot-plugin-compatibility-tester (not created)</x:v>
      </x:c>
      <x:c r="K2" s="140" t="str">
        <x:v>ALPHA DRY RUN</x:v>
      </x:c>
      <x:c r="L2" s="103" t="str">
        <x:v>Local alpha artifacts and enabled gates are ready for review. Publishing is unauthorized; canonical G-01 CI, full G-04, G-06, and platform scope remain open.</x:v>
      </x:c>
    </x:row>
  </x:sheetData>
  <x:pageMargins left="0.7" right="0.7" top="0.75" bottom="0.75" header="0.3" footer="0.3"/>
  <x:tableParts count="1">
    <x:tablePart xmlns:r="http://schemas.openxmlformats.org/officeDocument/2006/relationships" r:id="Rfa7678d8d9be4a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hidden="0" customWidth="1"/>
    <x:col min="2" max="2" width="18" hidden="0" customWidth="1"/>
    <x:col min="3" max="3" width="36" hidden="0" customWidth="1"/>
    <x:col min="4" max="4" width="36" hidden="0" customWidth="1"/>
    <x:col min="5" max="5" width="24" hidden="0" customWidth="1"/>
    <x:col min="6" max="6" width="18" hidden="0" customWidth="1"/>
    <x:col min="7" max="7" width="44" hidden="0" customWidth="1"/>
    <x:col min="8" max="8" width="15" hidden="0" customWidth="1"/>
    <x:col min="9" max="9" width="38" hidden="0" customWidth="1"/>
    <x:col min="10" max="10" width="38" hidden="0" customWidth="1"/>
    <x:col min="11" max="11" width="48" hidden="0" customWidth="1"/>
    <x:col min="12" max="12" width="18" hidden="0" customWidth="1"/>
    <x:col min="13" max="13" width="16" hidden="0" customWidth="1"/>
    <x:col min="14" max="14" width="48" hidden="0" customWidth="1"/>
  </x:cols>
  <x:sheetData>
    <x:row r="1" ht="30" customHeight="1">
      <x:c r="A1" s="9" t="str">
        <x:v>ID</x:v>
      </x:c>
      <x:c r="B1" s="9" t="str">
        <x:v>Platform</x:v>
      </x:c>
      <x:c r="C1" s="9" t="str">
        <x:v>Deliverable</x:v>
      </x:c>
      <x:c r="D1" s="9" t="str">
        <x:v>Purpose</x:v>
      </x:c>
      <x:c r="E1" s="9" t="str">
        <x:v>Dimensions Limits</x:v>
      </x:c>
      <x:c r="F1" s="9" t="str">
        <x:v>Format</x:v>
      </x:c>
      <x:c r="G1" s="9" t="str">
        <x:v>Requirement URL</x:v>
      </x:c>
      <x:c r="H1" s="9" t="str">
        <x:v>Checked Date</x:v>
      </x:c>
      <x:c r="I1" s="9" t="str">
        <x:v>Source Files</x:v>
      </x:c>
      <x:c r="J1" s="9" t="str">
        <x:v>Output Path</x:v>
      </x:c>
      <x:c r="K1" s="9" t="str">
        <x:v>Rights Disclosure</x:v>
      </x:c>
      <x:c r="L1" s="9" t="str">
        <x:v>Status</x:v>
      </x:c>
      <x:c r="M1" s="9" t="str">
        <x:v>Approval</x:v>
      </x:c>
      <x:c r="N1" s="9" t="str">
        <x:v>Notes</x:v>
      </x:c>
    </x:row>
    <x:row r="2" ht="50" customHeight="1">
      <x:c r="A2" s="10" t="str">
        <x:v>MKT-001</x:v>
      </x:c>
      <x:c r="B2" s="10" t="str">
        <x:v>N/A</x:v>
      </x:c>
      <x:c r="C2" s="10" t="str">
        <x:v>No marketing deliverable requested</x:v>
      </x:c>
      <x:c r="D2" s="10" t="str">
        <x:v>Record scope boundary</x:v>
      </x:c>
      <x:c r="E2" s="10" t="str">
        <x:v>N/A</x:v>
      </x:c>
      <x:c r="F2" s="10" t="str">
        <x:v>N/A</x:v>
      </x:c>
      <x:c r="G2" s="10" t="str">
        <x:v>N/A</x:v>
      </x:c>
      <x:c r="H2" s="10" t="str">
        <x:v>2026-08-10</x:v>
      </x:c>
      <x:c r="I2" s="10" t="str">
        <x:v>N/A</x:v>
      </x:c>
      <x:c r="J2" s="10" t="str">
        <x:v>N/A</x:v>
      </x:c>
      <x:c r="K2" s="10" t="str">
        <x:v>No third-party marketing assets gathered.</x:v>
      </x:c>
      <x:c r="L2" s="17" t="str">
        <x:v>Not Requested</x:v>
      </x:c>
      <x:c r="M2" s="10" t="str">
        <x:v>N/A</x:v>
      </x:c>
      <x:c r="N2" s="10" t="str">
        <x:v>Planning complete; no marketing deliverable was requested.</x:v>
      </x:c>
    </x:row>
  </x:sheetData>
  <x:pageMargins left="0.7" right="0.7" top="0.75" bottom="0.75" header="0.3" footer="0.3"/>
  <x:tableParts count="1">
    <x:tablePart xmlns:r="http://schemas.openxmlformats.org/officeDocument/2006/relationships" r:id="Rd274a15e46554a0a"/>
  </x:tableParts>
</x:worksheet>
</file>